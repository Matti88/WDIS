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10BHNFJM2\Users\matteo_montanari\OneDrive - Dell Technologies\Matteo_Montanari\Models_HCI\VSAN_Ready_Node_R640_MultipleConfigurator_creator\SHRINKED\"/>
    </mc:Choice>
  </mc:AlternateContent>
  <xr:revisionPtr revIDLastSave="0" documentId="13_ncr:1_{59D38D72-99DB-4101-A929-5D42FAFD2D36}" xr6:coauthVersionLast="44" xr6:coauthVersionMax="44" xr10:uidLastSave="{00000000-0000-0000-0000-000000000000}"/>
  <bookViews>
    <workbookView xWindow="9750" yWindow="-16470" windowWidth="29040" windowHeight="15840" xr2:uid="{74532256-EDED-4230-84B3-93F173244C1D}"/>
  </bookViews>
  <sheets>
    <sheet name="VSAN_Ready_Node_R640" sheetId="1" r:id="rId1"/>
    <sheet name="Processor" sheetId="7" r:id="rId2"/>
    <sheet name="Memory_DIMM_Type_and_Speed" sheetId="10" r:id="rId3"/>
    <sheet name="Memory_Capacity" sheetId="12" r:id="rId4"/>
    <sheet name="Hard_Drives" sheetId="15" r:id="rId5"/>
    <sheet name="Cache_Drives" sheetId="61" r:id="rId6"/>
    <sheet name="Operating_System" sheetId="17" r:id="rId7"/>
    <sheet name="PCIe_Riser" sheetId="26" r:id="rId8"/>
    <sheet name="Network_Daughter_Card" sheetId="28" r:id="rId9"/>
    <sheet name="Software" sheetId="44" r:id="rId10"/>
    <sheet name="Services" sheetId="60" r:id="rId11"/>
  </sheets>
  <definedNames>
    <definedName name="_xlnm._FilterDatabase" localSheetId="4" hidden="1">Hard_Drives!$A$1:$C$11</definedName>
    <definedName name="_xlnm._FilterDatabase" localSheetId="3" hidden="1">Memory_Capacity!$A$1:$E$12</definedName>
    <definedName name="_xlnm._FilterDatabase" localSheetId="6" hidden="1">Operating_System!$A$1:$I$3</definedName>
    <definedName name="_xlnm._FilterDatabase" localSheetId="7" hidden="1">PCIe_Riser!$A$1:$F$2</definedName>
    <definedName name="_xlnm._FilterDatabase" localSheetId="1" hidden="1">Processor!$A$1:$P$24</definedName>
    <definedName name="_xlnm._FilterDatabase" localSheetId="9" hidden="1">Software!$A$1:$F$3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15" l="1"/>
  <c r="D8" i="15"/>
  <c r="D9" i="15"/>
  <c r="D10" i="15"/>
  <c r="D11" i="15"/>
  <c r="D6" i="15"/>
  <c r="D3" i="15"/>
  <c r="D4" i="15"/>
  <c r="D5" i="15"/>
  <c r="D2" i="15"/>
</calcChain>
</file>

<file path=xl/sharedStrings.xml><?xml version="1.0" encoding="utf-8"?>
<sst xmlns="http://schemas.openxmlformats.org/spreadsheetml/2006/main" count="596" uniqueCount="291">
  <si>
    <t>210-APMM</t>
  </si>
  <si>
    <t>350-BBQU</t>
  </si>
  <si>
    <t>461-AADZ</t>
  </si>
  <si>
    <t>321-BCQL</t>
  </si>
  <si>
    <t>329-BDKC</t>
  </si>
  <si>
    <t>329-BEIJ</t>
  </si>
  <si>
    <t>338-BLUQ</t>
  </si>
  <si>
    <t>338-BLUS</t>
  </si>
  <si>
    <t>338-BLUW</t>
  </si>
  <si>
    <t>338-BLUX</t>
  </si>
  <si>
    <t>338-BLMC</t>
  </si>
  <si>
    <t>338-BLME</t>
  </si>
  <si>
    <t>338-BLMG</t>
  </si>
  <si>
    <t>338-BLMH</t>
  </si>
  <si>
    <t>338-BLMJ</t>
  </si>
  <si>
    <t>338-BLMN</t>
  </si>
  <si>
    <t>338-BLMP</t>
  </si>
  <si>
    <t>338-BLMQ</t>
  </si>
  <si>
    <t>338-BLMR</t>
  </si>
  <si>
    <t>338-BLMX</t>
  </si>
  <si>
    <t>338-BSDL</t>
  </si>
  <si>
    <t>338-BSHY</t>
  </si>
  <si>
    <t>338-BSHD</t>
  </si>
  <si>
    <t>338-BSGN</t>
  </si>
  <si>
    <t>338-BRVO</t>
  </si>
  <si>
    <t>338-BRVH</t>
  </si>
  <si>
    <t>338-BRVN</t>
  </si>
  <si>
    <t>338-BRVR</t>
  </si>
  <si>
    <t>374-BBPN</t>
  </si>
  <si>
    <t>374-BBPP</t>
  </si>
  <si>
    <t>374-BBPT</t>
  </si>
  <si>
    <t>374-BBPU</t>
  </si>
  <si>
    <t>374-BBNW</t>
  </si>
  <si>
    <t>374-BBNY</t>
  </si>
  <si>
    <t>374-BBOB</t>
  </si>
  <si>
    <t>374-BBOC</t>
  </si>
  <si>
    <t>374-BBOE</t>
  </si>
  <si>
    <t>374-BBOI</t>
  </si>
  <si>
    <t>374-BBOK</t>
  </si>
  <si>
    <t>374-BBOL</t>
  </si>
  <si>
    <t>374-BBOM</t>
  </si>
  <si>
    <t>374-BBOS</t>
  </si>
  <si>
    <t>412-AAIQ</t>
  </si>
  <si>
    <t>412-AAIP</t>
  </si>
  <si>
    <t>370-ADNU</t>
  </si>
  <si>
    <t>370-ADNT</t>
  </si>
  <si>
    <t>370-AEPP</t>
  </si>
  <si>
    <t>370-AAIP</t>
  </si>
  <si>
    <t>370-ADNI</t>
  </si>
  <si>
    <t>370-ADND</t>
  </si>
  <si>
    <t>370-ADNF</t>
  </si>
  <si>
    <t>370-ADNH</t>
  </si>
  <si>
    <t>780-BCDI</t>
  </si>
  <si>
    <t>405-AAJU</t>
  </si>
  <si>
    <t>400-AXOP</t>
  </si>
  <si>
    <t>400-AXPE</t>
  </si>
  <si>
    <t>400-AXSK</t>
  </si>
  <si>
    <t>400-ASEM</t>
  </si>
  <si>
    <t>400-BDGV</t>
  </si>
  <si>
    <t>None</t>
  </si>
  <si>
    <t>403-BBPZ</t>
  </si>
  <si>
    <t>619-ABVR</t>
  </si>
  <si>
    <t>634-BRIO</t>
  </si>
  <si>
    <t>634-BHWE</t>
  </si>
  <si>
    <t>385-BBKT</t>
  </si>
  <si>
    <t>528-BIYY</t>
  </si>
  <si>
    <t>379-BCQY</t>
  </si>
  <si>
    <t>379-BCSG</t>
  </si>
  <si>
    <t>330-BBGN</t>
  </si>
  <si>
    <t>555-BCKP</t>
  </si>
  <si>
    <t>540-BBUZ</t>
  </si>
  <si>
    <t>406-BBLG</t>
  </si>
  <si>
    <t>540-BBRL</t>
  </si>
  <si>
    <t>540-BBHQ</t>
  </si>
  <si>
    <t>406-BBLD</t>
  </si>
  <si>
    <t>384-BBQJ</t>
  </si>
  <si>
    <t>384-BBQI</t>
  </si>
  <si>
    <t>450-ADWM</t>
  </si>
  <si>
    <t>450-AALV</t>
  </si>
  <si>
    <t>325-BCZO</t>
  </si>
  <si>
    <t>350-BBQT</t>
  </si>
  <si>
    <t>350-BBKB</t>
  </si>
  <si>
    <t>800-BBDM</t>
  </si>
  <si>
    <t>770-BBBL</t>
  </si>
  <si>
    <t>429-AAOK</t>
  </si>
  <si>
    <t>631-AACK</t>
  </si>
  <si>
    <t>528-BEMI</t>
  </si>
  <si>
    <t>808-4233</t>
  </si>
  <si>
    <t>865-BBNB</t>
  </si>
  <si>
    <t>804-6748</t>
  </si>
  <si>
    <t>804-6749</t>
  </si>
  <si>
    <t>815-4076</t>
  </si>
  <si>
    <t>429-AAIQ</t>
  </si>
  <si>
    <t>709-BBFM</t>
  </si>
  <si>
    <t>sku1</t>
  </si>
  <si>
    <t>sku_desc1</t>
  </si>
  <si>
    <t>qty1</t>
  </si>
  <si>
    <t>2.5” Chassis with up to 10 Hard Drives and 3PCIe slots </t>
  </si>
  <si>
    <t>generation_tag</t>
  </si>
  <si>
    <t>sku2</t>
  </si>
  <si>
    <t>sku_desc2</t>
  </si>
  <si>
    <t>qty2</t>
  </si>
  <si>
    <t>sku3</t>
  </si>
  <si>
    <t>sku_desc3</t>
  </si>
  <si>
    <t>qty3</t>
  </si>
  <si>
    <t>2666MT/s RDIMMs </t>
  </si>
  <si>
    <t>2666MT/s LRDIMMs </t>
  </si>
  <si>
    <t>2933MT/s RDIMMs </t>
  </si>
  <si>
    <t>RDIMM</t>
  </si>
  <si>
    <t>LRDIMM</t>
  </si>
  <si>
    <t>Performance Optimized </t>
  </si>
  <si>
    <t>8GB RDIMM, 2666MT/s, Single Rank </t>
  </si>
  <si>
    <t>16GB RDIMM, 2666MT/s, Dual Rank </t>
  </si>
  <si>
    <t>32GB RDIMM, 2666MT/s, Dual Rank </t>
  </si>
  <si>
    <t>64GB LRDIMM, 2666MT/s, Quad Rank </t>
  </si>
  <si>
    <t>C1, No RAID for HDDs/SSDs (Mixed Drive Types Allowed) </t>
  </si>
  <si>
    <t>HBA330 12Gbps SAS HBA Controller (NON-RAID), Minicard </t>
  </si>
  <si>
    <t>BOSS controller card + with 2 M.2 Sticks 240G (RAID 1),LP </t>
  </si>
  <si>
    <t>No Operating System </t>
  </si>
  <si>
    <t>VMware ESXi 6.7 U2 Embedded Image (License Not Included) </t>
  </si>
  <si>
    <t>Bring Your Own VSAN Licenses </t>
  </si>
  <si>
    <t>speed_tag</t>
  </si>
  <si>
    <t>type_tag</t>
  </si>
  <si>
    <t>OpenManage Enterprise Advanced </t>
  </si>
  <si>
    <t>400GB SSD SAS Write Intensive 12Gbps 512n 2.5in Hot-plug Drive, PX05SM,10 DWPD,7300 TBW </t>
  </si>
  <si>
    <t>800GB SSD SAS Write Intensive 12Gbps 512e 2.5in Hot Plug Drive, PM5-M, 10 DWPD, 14600 TBW </t>
  </si>
  <si>
    <t>iDRAC Group Manager, Disabled </t>
  </si>
  <si>
    <t>iDRAC,Legacy Password </t>
  </si>
  <si>
    <t>Riser Config 2, 3x16 LP </t>
  </si>
  <si>
    <t>No Quick Sync </t>
  </si>
  <si>
    <t>ReadyRails™ Sliding Rails With Cable Management Arm </t>
  </si>
  <si>
    <t>1U Standard Bezel for x10, VSAN RN R640 </t>
  </si>
  <si>
    <t>Luggage Tag for x10, VSAN RN R640</t>
  </si>
  <si>
    <t>NEMA 5-15P to C13 Wall Plug, 125 Volt, 15 AMP, 10 Feet (3m), Power Cord, North America </t>
  </si>
  <si>
    <t>Dual, Hot-plug, Redundant Power Supply (1+1), 1100W </t>
  </si>
  <si>
    <t>No Systems Documentation, No OpenManage DVD Kit </t>
  </si>
  <si>
    <t>ProDeploy Dell Server R Series 1U/2U </t>
  </si>
  <si>
    <t>ProDeploy Dell Server R Series 1U/2U - Deployment Verification</t>
  </si>
  <si>
    <t>iDRAC9, Enterprise </t>
  </si>
  <si>
    <t>UEFI BIOS Boot Mode with GPT Partition </t>
  </si>
  <si>
    <t>ProDeploy Add-On: VMware vSAN (Requires ProDeploy) </t>
  </si>
  <si>
    <t>No Internal Optical Drive for 10 or 24 HDD Chassis </t>
  </si>
  <si>
    <t>8X DVD-ROM, USB, External</t>
  </si>
  <si>
    <t>8 Standard Fans for R640</t>
  </si>
  <si>
    <t>ProSupport for Software, VMware, vSAN Standard, 1 CPU, 3 Years</t>
  </si>
  <si>
    <t>Basic Next Business Day 36Months, 36 Month(s)</t>
  </si>
  <si>
    <t>865-BBNC</t>
  </si>
  <si>
    <t>ProSupport and 4Hr Mission Critical Initial, 36 Month(s)</t>
  </si>
  <si>
    <t>sku4</t>
  </si>
  <si>
    <t>sku_desc4</t>
  </si>
  <si>
    <t>qty4</t>
  </si>
  <si>
    <t>Standard 1U Heatsink</t>
  </si>
  <si>
    <t>1U Pipe Low Profile Heatsink</t>
  </si>
  <si>
    <t>sku5</t>
  </si>
  <si>
    <t>sku_desc5</t>
  </si>
  <si>
    <t>qty5</t>
  </si>
  <si>
    <t>Mellanox ConnectX-4 LX Dual Port 10/25GbE SFP28, rNDC</t>
  </si>
  <si>
    <t>8 Performance Fans for R640</t>
  </si>
  <si>
    <t>sku6</t>
  </si>
  <si>
    <t>qty6</t>
  </si>
  <si>
    <t>sku_desc6</t>
  </si>
  <si>
    <t>sku7</t>
  </si>
  <si>
    <t>sku_desc7</t>
  </si>
  <si>
    <t>qty7</t>
  </si>
  <si>
    <t>sku8</t>
  </si>
  <si>
    <t>sku_desc8</t>
  </si>
  <si>
    <t>qty8</t>
  </si>
  <si>
    <t>sku9</t>
  </si>
  <si>
    <t>sku_desc9</t>
  </si>
  <si>
    <t>qty9</t>
  </si>
  <si>
    <t>sku10</t>
  </si>
  <si>
    <t>sku_desc10</t>
  </si>
  <si>
    <t>qty10</t>
  </si>
  <si>
    <t>sku11</t>
  </si>
  <si>
    <t>sku_desc11</t>
  </si>
  <si>
    <t>qty11</t>
  </si>
  <si>
    <t>sku12</t>
  </si>
  <si>
    <t>sku_desc12</t>
  </si>
  <si>
    <t>qty12</t>
  </si>
  <si>
    <t>sku13</t>
  </si>
  <si>
    <t>sku_desc13</t>
  </si>
  <si>
    <t>qty13</t>
  </si>
  <si>
    <t>sku14</t>
  </si>
  <si>
    <t>sku_desc14</t>
  </si>
  <si>
    <t>qty14</t>
  </si>
  <si>
    <t>sku15</t>
  </si>
  <si>
    <t>sku_desc15</t>
  </si>
  <si>
    <t>qty15</t>
  </si>
  <si>
    <t>sku16</t>
  </si>
  <si>
    <t>sku_desc16</t>
  </si>
  <si>
    <t>qty16</t>
  </si>
  <si>
    <t>sku17</t>
  </si>
  <si>
    <t>sku_desc17</t>
  </si>
  <si>
    <t>qty17</t>
  </si>
  <si>
    <t>sku18</t>
  </si>
  <si>
    <t>sku_desc18</t>
  </si>
  <si>
    <t>qty18</t>
  </si>
  <si>
    <t>sku19</t>
  </si>
  <si>
    <t>sku_desc19</t>
  </si>
  <si>
    <t>qty19</t>
  </si>
  <si>
    <t>370-AEQF</t>
  </si>
  <si>
    <t>16GB RDIMM, 2933MT/s, Dual Rank</t>
  </si>
  <si>
    <t>32GB RDIMM, 2933MT/s, Dual Rank</t>
  </si>
  <si>
    <t>370-AEQH</t>
  </si>
  <si>
    <t>64GB RDIMM, 2933MT/s, Dual Rank</t>
  </si>
  <si>
    <t>370-AEQD</t>
  </si>
  <si>
    <t>drive_size</t>
  </si>
  <si>
    <t>1.92TB SSD SAS Read Intensive 12Gbps 512 2.5in Hot-plug AG Drive, 1 DWPD, 3504 TBW</t>
  </si>
  <si>
    <t>3.84TB SSD SAS Read Intensive 12Gbps 512 2.5in Hot-plug AG Drive, 1 DWPD, 7008 TBW</t>
  </si>
  <si>
    <t>3.84TB SSD SATA Read Intensive 6Gbps 512 2.5in Hot-plug AG Drive, 1 DWPD, 7008 TBW</t>
  </si>
  <si>
    <t>cache_tag</t>
  </si>
  <si>
    <t>PowerEdge R640 Motherboard</t>
  </si>
  <si>
    <t>PowerEdge R640 MLK Motherboard</t>
  </si>
  <si>
    <t>R640,VSAN-RN,AF Server</t>
  </si>
  <si>
    <t>IDM/ Personality Module for VSAN RN R640</t>
  </si>
  <si>
    <t>No Trusted Platform Module</t>
  </si>
  <si>
    <t>Intel® Xeon® Silver 4110 2.1G, 8C/16T, 9.6GT/s, 11M Cache, Turbo, HT (85W) DDR4-2400</t>
  </si>
  <si>
    <t>Intel® Xeon® Silver 4114 2.2G, 10C/20T, 9.6GT/s, 14M Cache, Turbo, HT (85W) DDR4-2400</t>
  </si>
  <si>
    <t>Intel® Xeon® Gold 5118 2.3G, 12C/24T, 10.4GT/s, 16.5M Cache, Turbo, HT (105W) DDR4-2400</t>
  </si>
  <si>
    <t>Intel® Xeon® Gold 5120 2.2G, 14C/28T, 10.4GT/s, 19.25M Cache, Turbo, HT (105W) DDR4-2400</t>
  </si>
  <si>
    <t>Intel® Xeon® Gold 6130 2.1G,16C/32T,10.4GT/s, 22M Cache,Turbo,HT (125W) DDR4-2666</t>
  </si>
  <si>
    <t>Intel® Xeon® Gold 6132 2.6G,14C/28T,10.4GT/s, 19M Cache,Turbo,HT (140W) DDR4-2666</t>
  </si>
  <si>
    <t>Intel® Xeon® Gold 6136 3.0G,12C/24T,10.4GT/s, 24.75M Cache,Turbo,HT (150W) DDR4-2666</t>
  </si>
  <si>
    <t>Intel® Xeon® Gold 6138 2.0G,20C/40T,10.4GT/s, 27M Cache,Turbo,HT (125W) DDR4-2666</t>
  </si>
  <si>
    <t>Intel® Xeon® Gold 6140 2.3G,18C/36T,10.4GT/s, 24.75M Cache,Turbo,HT (140W) DDR4-2666</t>
  </si>
  <si>
    <t>Intel® Xeon® Gold 6148 2.4G,20C/40T,10.4GT/s, 27M Cache,Turbo,HT (150W) DDR4-2666</t>
  </si>
  <si>
    <t>Intel® Xeon® Gold 6152 2.1G,22C/44T,10.4GT/s, 30M Cache,Turbo,HT (140W) DDR4-2666</t>
  </si>
  <si>
    <t>Intel® Xeon® Gold 6154 3.0G,18C/36T,10.4GT/s, 25M Cache,Turbo,HT (200W) DDR4-2666</t>
  </si>
  <si>
    <t>Intel® Xeon® Platinum 8160 2.1G,24C/48T,10.4GT/s, 33M Cache,Turbo,HT (150W) DDR4-2666</t>
  </si>
  <si>
    <t>Intel® Xeon® Platinum 8180 2.5G,28C/56T,10.4GT/s, 38M Cache,Turbo,HT (205W) DDR4-2666</t>
  </si>
  <si>
    <t>Intel Xeon Silver 4214 2.2G, 12C/24T, 9.6GT/s, 16.5M Cache, Turbo, HT (85W) DDR4-2400</t>
  </si>
  <si>
    <t>Intel® Xeon® Platinum 8276 2.2G, 28C/56T, 10.4GT/s, 38.5M Cache, Turbo, HT (165W) DDR4-2933</t>
  </si>
  <si>
    <t>Intel® Xeon® Gold 6242 2.8G, 16C/32T, 10.4GT/s, 22M Cache, Turbo, HT (150W) DDR4-2933</t>
  </si>
  <si>
    <t>Intel® Xeon® Gold 6240 2.6G, 18C/36T, 10.4GT/s, 24.75M Cache, Turbo, HT (150W) DDR4-2933</t>
  </si>
  <si>
    <t>Intel® Xeon® Gold 6248 2.5G, 20C/40T, 10.4GT/s, 27.5M Cache, Turbo, HT (150W) DDR4-2933</t>
  </si>
  <si>
    <t>Intel® Xeon® Gold 5218 2.3G, 16C/32T, 10.4GT/s, 22M Cache, Turbo, HT (125W) DDR4-2666</t>
  </si>
  <si>
    <t>Intel® Xeon® Gold 6230 2.1G, 20C/40T, 10.4GT/s, 27.5M Cache, Turbo, HT (125W) DDR4-2933</t>
  </si>
  <si>
    <t>Intel® Xeon® Platinum 8280 2.7G, 28C/56T, 10.4GT/s, 38.5M Cache, Turbo, HT (205W) DDR4-2933</t>
  </si>
  <si>
    <t>Intel X710 Quad Port 10GbE SFP+, rNDC</t>
  </si>
  <si>
    <t>Intel X550 Dual Port 10GbE Base-T &amp; i350 Dual Port 1GbE BASE-T, rNDC</t>
  </si>
  <si>
    <t>Mellanox ConnectX-4 LX Dual Port 10/25GbE SFP28 Adapter, PCIe Low Profile</t>
  </si>
  <si>
    <t>Intel X550 Dual Port 10GbE BASE-T Adapter, PCIe Low Profile</t>
  </si>
  <si>
    <t>Intel X710 Quad Port 10GbE SFP+ Adapter, PCIe Full Height</t>
  </si>
  <si>
    <t>528-BEMH</t>
  </si>
  <si>
    <t>808-4234</t>
  </si>
  <si>
    <t>vSAN Enterprise Edition, 1CPU with 5 year License &amp; Support</t>
  </si>
  <si>
    <t>ProSupport for Software, VMware, vSAN Standard, 1 CPU, 5 Years</t>
  </si>
  <si>
    <t>vSAN Enterprise Edition, 1CPU with 3 year License &amp; Support</t>
  </si>
  <si>
    <t>vSAN_level</t>
  </si>
  <si>
    <t>Enterprise</t>
  </si>
  <si>
    <t>sku20</t>
  </si>
  <si>
    <t>sku_desc20</t>
  </si>
  <si>
    <t>qty20</t>
  </si>
  <si>
    <t>sku21</t>
  </si>
  <si>
    <t>sku_desc21</t>
  </si>
  <si>
    <t>qty21</t>
  </si>
  <si>
    <t>sku22</t>
  </si>
  <si>
    <t>sku_desc22</t>
  </si>
  <si>
    <t>qty22</t>
  </si>
  <si>
    <t>sku23</t>
  </si>
  <si>
    <t>sku_desc23</t>
  </si>
  <si>
    <t>qty23</t>
  </si>
  <si>
    <t>ProSupport and 4Hr Mission Critical Extension</t>
  </si>
  <si>
    <t>ProSupport and 4Hr Mission Critical Initial, 60 Month(s)</t>
  </si>
  <si>
    <t>865-BBNF</t>
  </si>
  <si>
    <t>865-BBNG</t>
  </si>
  <si>
    <t>Prosupport Plus and 4Hr Mission Critical Extension</t>
  </si>
  <si>
    <t>Prosupport Plus and 4Hr Mission Critical Initial, 36 Month(s)</t>
  </si>
  <si>
    <t>Prosupport Plus and 4Hr Mission Critical Initial, 60 Month(s)</t>
  </si>
  <si>
    <t>SPS-MC36</t>
  </si>
  <si>
    <t>ProSupport and 4Hr Mission Critical, 36 Months</t>
  </si>
  <si>
    <t>SPS-MC60</t>
  </si>
  <si>
    <t>ProSupport and 4Hr Mission Critical, 60 Months</t>
  </si>
  <si>
    <t>SPSP-MC36</t>
  </si>
  <si>
    <t>ProSupport Plus and 4Hr Mission Critical, 36 Months</t>
  </si>
  <si>
    <t>SPSP-MC60</t>
  </si>
  <si>
    <t>ProSupport Plus and 4Hr Mission Critical, 60 Months</t>
  </si>
  <si>
    <t>level_of_service</t>
  </si>
  <si>
    <t>N_years_service</t>
  </si>
  <si>
    <t>PSMC</t>
  </si>
  <si>
    <t>PSPMC</t>
  </si>
  <si>
    <t>CPU_level</t>
  </si>
  <si>
    <t>Silver</t>
  </si>
  <si>
    <t>Gold</t>
  </si>
  <si>
    <t>Platinum</t>
  </si>
  <si>
    <t>Total_memory</t>
  </si>
  <si>
    <t>PowerEdge R640 x4 and x10 Drive Shipping Material</t>
  </si>
  <si>
    <t>340-COPR</t>
  </si>
  <si>
    <t>Intel® Xeon® Platinum 8176M 2.1G, 28C/56T, 10.4GT/s, 38M Cache, Turbo, HT (165W) 1.5TB DDR4-266</t>
  </si>
  <si>
    <t>338-BLVH</t>
  </si>
  <si>
    <t>374-BBQE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</si>
</sst>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8" fillId="0" borderId="0" xfId="0" applyFont="1" applyAlignment="1">
      <alignment horizontal="left"/>
    </xf>
    <xf numFmtId="0" fontId="18" fillId="0" borderId="0" xfId="0" applyFont="1" applyFill="1" applyAlignment="1">
      <alignment horizontal="left"/>
    </xf>
    <xf numFmtId="0" fontId="17" fillId="0" borderId="0" xfId="0" applyFont="1" applyFill="1" applyAlignment="1">
      <alignment horizontal="left"/>
    </xf>
    <xf numFmtId="0" fontId="17" fillId="0" borderId="0" xfId="0" applyFont="1" applyAlignment="1">
      <alignment horizontal="left"/>
    </xf>
    <xf numFmtId="0" fontId="16" fillId="0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15" fillId="0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0" fontId="14" fillId="0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/>
    <xf numFmtId="0" fontId="13" fillId="0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2" fillId="0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D3ED-792D-451C-A160-C68BD7E85245}">
  <sheetPr codeName="Sheet1"/>
  <dimension ref="A1:BQ2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10.28515625" style="2" bestFit="1" customWidth="1"/>
    <col min="2" max="2" width="23.28515625" style="2" bestFit="1" customWidth="1"/>
    <col min="3" max="3" width="4.5703125" style="2" bestFit="1" customWidth="1"/>
    <col min="4" max="4" width="9.85546875" style="1" bestFit="1" customWidth="1"/>
    <col min="5" max="5" width="38.5703125" style="1" bestFit="1" customWidth="1"/>
    <col min="6" max="6" width="4.5703125" style="1" bestFit="1" customWidth="1"/>
    <col min="7" max="7" width="9.42578125" style="1" bestFit="1" customWidth="1"/>
    <col min="8" max="8" width="24.42578125" style="1" bestFit="1" customWidth="1"/>
    <col min="9" max="9" width="4.5703125" style="1" bestFit="1" customWidth="1"/>
    <col min="10" max="10" width="9.85546875" style="1" bestFit="1" customWidth="1"/>
    <col min="11" max="11" width="22.85546875" style="1" bestFit="1" customWidth="1"/>
    <col min="12" max="12" width="4.5703125" style="1" bestFit="1" customWidth="1"/>
    <col min="13" max="13" width="9.85546875" style="1" bestFit="1" customWidth="1"/>
    <col min="14" max="14" width="29.28515625" style="1" bestFit="1" customWidth="1"/>
    <col min="15" max="15" width="4.5703125" style="1" bestFit="1" customWidth="1"/>
    <col min="16" max="16" width="10.5703125" style="1" bestFit="1" customWidth="1"/>
    <col min="17" max="17" width="48.42578125" style="1" bestFit="1" customWidth="1"/>
    <col min="18" max="18" width="4.5703125" style="1" bestFit="1" customWidth="1"/>
    <col min="19" max="19" width="9.5703125" style="1" bestFit="1" customWidth="1"/>
    <col min="20" max="20" width="38.5703125" style="1" bestFit="1" customWidth="1"/>
    <col min="21" max="21" width="4.5703125" style="1" bestFit="1" customWidth="1"/>
    <col min="22" max="22" width="9.5703125" style="1" bestFit="1" customWidth="1"/>
    <col min="23" max="23" width="32.7109375" style="1" bestFit="1" customWidth="1"/>
    <col min="24" max="24" width="4.5703125" style="1" bestFit="1" customWidth="1"/>
    <col min="25" max="25" width="9.42578125" style="1" bestFit="1" customWidth="1"/>
    <col min="26" max="26" width="50" style="1" bestFit="1" customWidth="1"/>
    <col min="27" max="27" width="4.5703125" style="1" bestFit="1" customWidth="1"/>
    <col min="28" max="28" width="9.7109375" style="1" bestFit="1" customWidth="1"/>
    <col min="29" max="29" width="14.28515625" style="1" bestFit="1" customWidth="1"/>
    <col min="30" max="30" width="5.5703125" style="1" bestFit="1" customWidth="1"/>
    <col min="31" max="31" width="9" style="1" bestFit="1" customWidth="1"/>
    <col min="32" max="32" width="44.140625" style="1" bestFit="1" customWidth="1"/>
    <col min="33" max="33" width="5.5703125" style="1" bestFit="1" customWidth="1"/>
    <col min="34" max="34" width="9.7109375" style="1" bestFit="1" customWidth="1"/>
    <col min="35" max="35" width="48.42578125" style="1" bestFit="1" customWidth="1"/>
    <col min="36" max="36" width="5.5703125" style="1" bestFit="1" customWidth="1"/>
    <col min="37" max="37" width="9.85546875" style="1" bestFit="1" customWidth="1"/>
    <col min="38" max="38" width="25.85546875" style="1" bestFit="1" customWidth="1"/>
    <col min="39" max="39" width="5.5703125" style="1" bestFit="1" customWidth="1"/>
    <col min="40" max="40" width="10" style="1" bestFit="1" customWidth="1"/>
    <col min="41" max="41" width="36.7109375" style="1" bestFit="1" customWidth="1"/>
    <col min="42" max="42" width="5.5703125" style="1" bestFit="1" customWidth="1"/>
    <col min="43" max="43" width="9.42578125" style="1" bestFit="1" customWidth="1"/>
    <col min="44" max="44" width="80.7109375" style="1" bestFit="1" customWidth="1"/>
    <col min="45" max="45" width="5.5703125" style="1" bestFit="1" customWidth="1"/>
    <col min="46" max="46" width="9.5703125" style="2" bestFit="1" customWidth="1"/>
    <col min="47" max="47" width="48.140625" style="1" bestFit="1" customWidth="1"/>
    <col min="48" max="48" width="5.5703125" style="1" bestFit="1" customWidth="1"/>
    <col min="49" max="49" width="9.85546875" style="1" bestFit="1" customWidth="1"/>
    <col min="50" max="50" width="45.5703125" style="1" bestFit="1" customWidth="1"/>
    <col min="51" max="51" width="5.5703125" style="1" bestFit="1" customWidth="1"/>
    <col min="52" max="52" width="8.85546875" style="1" bestFit="1" customWidth="1"/>
    <col min="53" max="53" width="50.85546875" style="1" bestFit="1" customWidth="1"/>
    <col min="54" max="54" width="5.5703125" style="1" bestFit="1" customWidth="1"/>
    <col min="55" max="55" width="9.28515625" style="1" bestFit="1" customWidth="1"/>
    <col min="56" max="56" width="52.85546875" style="1" bestFit="1" customWidth="1"/>
    <col min="57" max="57" width="5.5703125" style="1" bestFit="1" customWidth="1"/>
    <col min="58" max="58" width="8.5703125" style="1" bestFit="1" customWidth="1"/>
    <col min="59" max="59" width="33.85546875" style="1" bestFit="1" customWidth="1"/>
    <col min="60" max="60" width="5.5703125" style="1" bestFit="1" customWidth="1"/>
    <col min="61" max="61" width="8.5703125" style="1" bestFit="1" customWidth="1"/>
    <col min="62" max="62" width="55.28515625" style="1" bestFit="1" customWidth="1"/>
    <col min="63" max="63" width="5.5703125" style="1" bestFit="1" customWidth="1"/>
    <col min="64" max="64" width="8.5703125" style="1" bestFit="1" customWidth="1"/>
    <col min="65" max="65" width="49.42578125" style="1" bestFit="1" customWidth="1"/>
    <col min="66" max="66" width="5.5703125" style="1" bestFit="1" customWidth="1"/>
    <col min="67" max="67" width="9.85546875" style="1" bestFit="1" customWidth="1"/>
    <col min="68" max="68" width="43.140625" style="1" bestFit="1" customWidth="1"/>
    <col min="69" max="69" width="5.5703125" style="1" bestFit="1" customWidth="1"/>
    <col min="70" max="16384" width="9.140625" style="1"/>
  </cols>
  <sheetData>
    <row r="1" spans="1:69" ht="15" customHeight="1" x14ac:dyDescent="0.2">
      <c r="A1" s="2" t="s">
        <v>94</v>
      </c>
      <c r="B1" s="2" t="s">
        <v>95</v>
      </c>
      <c r="C1" s="2" t="s">
        <v>96</v>
      </c>
      <c r="D1" s="24" t="s">
        <v>99</v>
      </c>
      <c r="E1" s="24" t="s">
        <v>100</v>
      </c>
      <c r="F1" s="24" t="s">
        <v>101</v>
      </c>
      <c r="G1" s="27" t="s">
        <v>102</v>
      </c>
      <c r="H1" s="24" t="s">
        <v>103</v>
      </c>
      <c r="I1" s="24" t="s">
        <v>104</v>
      </c>
      <c r="J1" s="24" t="s">
        <v>148</v>
      </c>
      <c r="K1" s="24" t="s">
        <v>149</v>
      </c>
      <c r="L1" s="24" t="s">
        <v>150</v>
      </c>
      <c r="M1" s="26" t="s">
        <v>153</v>
      </c>
      <c r="N1" s="24" t="s">
        <v>154</v>
      </c>
      <c r="O1" s="24" t="s">
        <v>155</v>
      </c>
      <c r="P1" s="26" t="s">
        <v>158</v>
      </c>
      <c r="Q1" s="24" t="s">
        <v>160</v>
      </c>
      <c r="R1" s="24" t="s">
        <v>159</v>
      </c>
      <c r="S1" s="26" t="s">
        <v>161</v>
      </c>
      <c r="T1" s="24" t="s">
        <v>162</v>
      </c>
      <c r="U1" s="24" t="s">
        <v>163</v>
      </c>
      <c r="V1" s="24" t="s">
        <v>164</v>
      </c>
      <c r="W1" s="24" t="s">
        <v>165</v>
      </c>
      <c r="X1" s="24" t="s">
        <v>166</v>
      </c>
      <c r="Y1" s="25" t="s">
        <v>167</v>
      </c>
      <c r="Z1" s="24" t="s">
        <v>168</v>
      </c>
      <c r="AA1" s="25" t="s">
        <v>169</v>
      </c>
      <c r="AB1" s="25" t="s">
        <v>170</v>
      </c>
      <c r="AC1" s="24" t="s">
        <v>171</v>
      </c>
      <c r="AD1" s="24" t="s">
        <v>172</v>
      </c>
      <c r="AE1" s="29" t="s">
        <v>173</v>
      </c>
      <c r="AF1" s="27" t="s">
        <v>174</v>
      </c>
      <c r="AG1" s="27" t="s">
        <v>175</v>
      </c>
      <c r="AH1" s="28" t="s">
        <v>176</v>
      </c>
      <c r="AI1" s="27" t="s">
        <v>177</v>
      </c>
      <c r="AJ1" s="27" t="s">
        <v>178</v>
      </c>
      <c r="AK1" s="29" t="s">
        <v>179</v>
      </c>
      <c r="AL1" s="27" t="s">
        <v>180</v>
      </c>
      <c r="AM1" s="27" t="s">
        <v>181</v>
      </c>
      <c r="AN1" s="28" t="s">
        <v>182</v>
      </c>
      <c r="AO1" s="27" t="s">
        <v>183</v>
      </c>
      <c r="AP1" s="27" t="s">
        <v>184</v>
      </c>
      <c r="AQ1" s="28" t="s">
        <v>185</v>
      </c>
      <c r="AR1" s="27" t="s">
        <v>186</v>
      </c>
      <c r="AS1" s="27" t="s">
        <v>187</v>
      </c>
      <c r="AT1" s="28" t="s">
        <v>188</v>
      </c>
      <c r="AU1" s="27" t="s">
        <v>189</v>
      </c>
      <c r="AV1" s="27" t="s">
        <v>190</v>
      </c>
      <c r="AW1" s="28" t="s">
        <v>191</v>
      </c>
      <c r="AX1" s="27" t="s">
        <v>192</v>
      </c>
      <c r="AY1" s="27" t="s">
        <v>193</v>
      </c>
      <c r="AZ1" s="28" t="s">
        <v>194</v>
      </c>
      <c r="BA1" s="27" t="s">
        <v>195</v>
      </c>
      <c r="BB1" s="27" t="s">
        <v>196</v>
      </c>
      <c r="BC1" s="27" t="s">
        <v>197</v>
      </c>
      <c r="BD1" s="27" t="s">
        <v>198</v>
      </c>
      <c r="BE1" s="28" t="s">
        <v>199</v>
      </c>
      <c r="BF1" s="30" t="s">
        <v>250</v>
      </c>
      <c r="BG1" s="30" t="s">
        <v>251</v>
      </c>
      <c r="BH1" s="31" t="s">
        <v>252</v>
      </c>
      <c r="BI1" s="30" t="s">
        <v>253</v>
      </c>
      <c r="BJ1" s="30" t="s">
        <v>254</v>
      </c>
      <c r="BK1" s="31" t="s">
        <v>255</v>
      </c>
      <c r="BL1" s="30" t="s">
        <v>256</v>
      </c>
      <c r="BM1" s="30" t="s">
        <v>257</v>
      </c>
      <c r="BN1" s="31" t="s">
        <v>258</v>
      </c>
      <c r="BO1" s="30" t="s">
        <v>259</v>
      </c>
      <c r="BP1" s="30" t="s">
        <v>260</v>
      </c>
      <c r="BQ1" s="31" t="s">
        <v>261</v>
      </c>
    </row>
    <row r="2" spans="1:69" ht="15" customHeight="1" x14ac:dyDescent="0.2">
      <c r="A2" s="2" t="s">
        <v>0</v>
      </c>
      <c r="B2" s="30" t="s">
        <v>213</v>
      </c>
      <c r="C2" s="2">
        <v>1</v>
      </c>
      <c r="D2" s="2" t="s">
        <v>1</v>
      </c>
      <c r="E2" s="30" t="s">
        <v>214</v>
      </c>
      <c r="F2" s="2">
        <v>1</v>
      </c>
      <c r="G2" s="2" t="s">
        <v>2</v>
      </c>
      <c r="H2" s="30" t="s">
        <v>215</v>
      </c>
      <c r="I2" s="1">
        <v>1</v>
      </c>
      <c r="J2" s="24" t="s">
        <v>67</v>
      </c>
      <c r="K2" s="9" t="s">
        <v>127</v>
      </c>
      <c r="L2" s="9">
        <v>1</v>
      </c>
      <c r="M2" s="24" t="s">
        <v>66</v>
      </c>
      <c r="N2" s="2" t="s">
        <v>126</v>
      </c>
      <c r="O2" s="2">
        <v>1</v>
      </c>
      <c r="P2" s="24" t="s">
        <v>77</v>
      </c>
      <c r="Q2" s="2" t="s">
        <v>134</v>
      </c>
      <c r="R2" s="2">
        <v>1</v>
      </c>
      <c r="S2" s="2" t="s">
        <v>79</v>
      </c>
      <c r="T2" s="2" t="s">
        <v>131</v>
      </c>
      <c r="U2" s="2">
        <v>1</v>
      </c>
      <c r="V2" s="24" t="s">
        <v>80</v>
      </c>
      <c r="W2" s="12" t="s">
        <v>132</v>
      </c>
      <c r="X2" s="2">
        <v>1</v>
      </c>
      <c r="Y2" s="12" t="s">
        <v>83</v>
      </c>
      <c r="Z2" s="12" t="s">
        <v>130</v>
      </c>
      <c r="AA2" s="13">
        <v>1</v>
      </c>
      <c r="AB2" s="12" t="s">
        <v>81</v>
      </c>
      <c r="AC2" s="12" t="s">
        <v>129</v>
      </c>
      <c r="AD2" s="12">
        <v>1</v>
      </c>
      <c r="AE2" s="14" t="s">
        <v>92</v>
      </c>
      <c r="AF2" s="14" t="s">
        <v>141</v>
      </c>
      <c r="AG2" s="14">
        <v>1</v>
      </c>
      <c r="AH2" s="12" t="s">
        <v>85</v>
      </c>
      <c r="AI2" s="12" t="s">
        <v>135</v>
      </c>
      <c r="AJ2" s="12">
        <v>1</v>
      </c>
      <c r="AK2" s="2" t="s">
        <v>84</v>
      </c>
      <c r="AL2" s="14" t="s">
        <v>142</v>
      </c>
      <c r="AM2" s="2">
        <v>1</v>
      </c>
      <c r="AN2" s="19" t="s">
        <v>82</v>
      </c>
      <c r="AO2" s="12" t="s">
        <v>139</v>
      </c>
      <c r="AP2" s="12">
        <v>1</v>
      </c>
      <c r="AQ2" s="12" t="s">
        <v>78</v>
      </c>
      <c r="AR2" s="12" t="s">
        <v>133</v>
      </c>
      <c r="AS2" s="12">
        <v>2</v>
      </c>
      <c r="AT2" s="2" t="s">
        <v>3</v>
      </c>
      <c r="AU2" s="2" t="s">
        <v>97</v>
      </c>
      <c r="AV2" s="1">
        <v>1</v>
      </c>
      <c r="AW2" s="33" t="s">
        <v>287</v>
      </c>
      <c r="AX2" s="33" t="s">
        <v>286</v>
      </c>
      <c r="AY2" s="1">
        <v>1</v>
      </c>
      <c r="AZ2" s="3" t="s">
        <v>52</v>
      </c>
      <c r="BA2" s="3" t="s">
        <v>115</v>
      </c>
      <c r="BB2" s="3">
        <v>1</v>
      </c>
      <c r="BC2" s="3" t="s">
        <v>53</v>
      </c>
      <c r="BD2" s="3" t="s">
        <v>116</v>
      </c>
      <c r="BE2" s="4">
        <v>1</v>
      </c>
      <c r="BF2" s="2" t="s">
        <v>89</v>
      </c>
      <c r="BG2" s="2" t="s">
        <v>136</v>
      </c>
      <c r="BH2" s="2">
        <v>1</v>
      </c>
      <c r="BI2" s="2" t="s">
        <v>90</v>
      </c>
      <c r="BJ2" s="12" t="s">
        <v>137</v>
      </c>
      <c r="BK2" s="2">
        <v>1</v>
      </c>
      <c r="BL2" s="12" t="s">
        <v>91</v>
      </c>
      <c r="BM2" s="12" t="s">
        <v>140</v>
      </c>
      <c r="BN2" s="12">
        <v>1</v>
      </c>
      <c r="BO2" s="16" t="s">
        <v>93</v>
      </c>
      <c r="BP2" s="16" t="s">
        <v>145</v>
      </c>
      <c r="BQ2" s="16">
        <v>1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2D97-68C6-4D9D-9566-5DEED8585919}">
  <sheetPr codeName="Sheet7"/>
  <dimension ref="A1:Q24"/>
  <sheetViews>
    <sheetView workbookViewId="0">
      <pane ySplit="1" topLeftCell="A2" activePane="bottomLeft" state="frozen"/>
      <selection pane="bottomLeft" activeCell="A15" sqref="A15"/>
    </sheetView>
  </sheetViews>
  <sheetFormatPr defaultColWidth="9.140625" defaultRowHeight="15" customHeight="1" x14ac:dyDescent="0.2"/>
  <cols>
    <col min="1" max="1" width="10.28515625" style="2" bestFit="1" customWidth="1"/>
    <col min="2" max="2" width="90.5703125" style="2" bestFit="1" customWidth="1"/>
    <col min="3" max="3" width="4.5703125" style="1" bestFit="1" customWidth="1"/>
    <col min="4" max="4" width="10.28515625" style="2" bestFit="1" customWidth="1"/>
    <col min="5" max="5" width="90.5703125" style="2" bestFit="1" customWidth="1"/>
    <col min="6" max="6" width="4.5703125" style="1" bestFit="1" customWidth="1"/>
    <col min="7" max="7" width="9" style="1" bestFit="1" customWidth="1"/>
    <col min="8" max="8" width="25.5703125" style="1" bestFit="1" customWidth="1"/>
    <col min="9" max="9" width="4.5703125" style="1" bestFit="1" customWidth="1"/>
    <col min="10" max="10" width="9.7109375" style="1" bestFit="1" customWidth="1"/>
    <col min="11" max="11" width="31.28515625" style="1" bestFit="1" customWidth="1"/>
    <col min="12" max="12" width="4.5703125" style="1" customWidth="1"/>
    <col min="13" max="13" width="9.42578125" style="1" bestFit="1" customWidth="1"/>
    <col min="14" max="14" width="25.7109375" style="1" bestFit="1" customWidth="1"/>
    <col min="15" max="15" width="4.5703125" style="1" customWidth="1"/>
    <col min="16" max="16" width="13.28515625" style="1" bestFit="1" customWidth="1"/>
    <col min="17" max="17" width="9.42578125" style="1" bestFit="1" customWidth="1"/>
    <col min="18" max="16384" width="9.140625" style="1"/>
  </cols>
  <sheetData>
    <row r="1" spans="1:17" ht="15" customHeight="1" x14ac:dyDescent="0.2">
      <c r="A1" s="2" t="s">
        <v>94</v>
      </c>
      <c r="B1" s="2" t="s">
        <v>95</v>
      </c>
      <c r="C1" s="1" t="s">
        <v>96</v>
      </c>
      <c r="D1" s="2" t="s">
        <v>99</v>
      </c>
      <c r="E1" s="2" t="s">
        <v>100</v>
      </c>
      <c r="F1" s="1" t="s">
        <v>101</v>
      </c>
      <c r="G1" s="24" t="s">
        <v>102</v>
      </c>
      <c r="H1" s="24" t="s">
        <v>103</v>
      </c>
      <c r="I1" s="25" t="s">
        <v>104</v>
      </c>
      <c r="J1" s="24" t="s">
        <v>148</v>
      </c>
      <c r="K1" s="24" t="s">
        <v>149</v>
      </c>
      <c r="L1" s="25" t="s">
        <v>150</v>
      </c>
      <c r="M1" s="24" t="s">
        <v>153</v>
      </c>
      <c r="N1" s="24" t="s">
        <v>154</v>
      </c>
      <c r="O1" s="25" t="s">
        <v>155</v>
      </c>
      <c r="P1" s="2" t="s">
        <v>98</v>
      </c>
      <c r="Q1" s="32" t="s">
        <v>281</v>
      </c>
    </row>
    <row r="2" spans="1:17" ht="15" customHeight="1" x14ac:dyDescent="0.2">
      <c r="A2" s="2" t="s">
        <v>6</v>
      </c>
      <c r="B2" s="30" t="s">
        <v>216</v>
      </c>
      <c r="C2" s="2">
        <v>1</v>
      </c>
      <c r="D2" s="2" t="s">
        <v>28</v>
      </c>
      <c r="E2" s="30" t="s">
        <v>216</v>
      </c>
      <c r="F2" s="2">
        <v>1</v>
      </c>
      <c r="G2" s="22" t="s">
        <v>42</v>
      </c>
      <c r="H2" s="30" t="s">
        <v>151</v>
      </c>
      <c r="I2" s="22">
        <v>2</v>
      </c>
      <c r="J2" s="2" t="s">
        <v>4</v>
      </c>
      <c r="K2" s="30" t="s">
        <v>211</v>
      </c>
      <c r="L2" s="22">
        <v>1</v>
      </c>
      <c r="M2" s="11" t="s">
        <v>75</v>
      </c>
      <c r="N2" s="30" t="s">
        <v>143</v>
      </c>
      <c r="O2" s="9">
        <v>1</v>
      </c>
      <c r="P2" s="1">
        <v>1</v>
      </c>
      <c r="Q2" s="32" t="s">
        <v>282</v>
      </c>
    </row>
    <row r="3" spans="1:17" ht="15" customHeight="1" x14ac:dyDescent="0.2">
      <c r="A3" s="2" t="s">
        <v>7</v>
      </c>
      <c r="B3" s="30" t="s">
        <v>217</v>
      </c>
      <c r="C3" s="2">
        <v>1</v>
      </c>
      <c r="D3" s="2" t="s">
        <v>29</v>
      </c>
      <c r="E3" s="30" t="s">
        <v>217</v>
      </c>
      <c r="F3" s="2">
        <v>1</v>
      </c>
      <c r="G3" s="22" t="s">
        <v>42</v>
      </c>
      <c r="H3" s="24" t="s">
        <v>151</v>
      </c>
      <c r="I3" s="22">
        <v>2</v>
      </c>
      <c r="J3" s="2" t="s">
        <v>4</v>
      </c>
      <c r="K3" s="30" t="s">
        <v>211</v>
      </c>
      <c r="L3" s="22">
        <v>1</v>
      </c>
      <c r="M3" s="11" t="s">
        <v>75</v>
      </c>
      <c r="N3" s="9" t="s">
        <v>143</v>
      </c>
      <c r="O3" s="9">
        <v>1</v>
      </c>
      <c r="P3" s="1">
        <v>1</v>
      </c>
      <c r="Q3" s="32" t="s">
        <v>282</v>
      </c>
    </row>
    <row r="4" spans="1:17" ht="15" customHeight="1" x14ac:dyDescent="0.2">
      <c r="A4" s="2" t="s">
        <v>8</v>
      </c>
      <c r="B4" s="30" t="s">
        <v>218</v>
      </c>
      <c r="C4" s="2">
        <v>1</v>
      </c>
      <c r="D4" s="2" t="s">
        <v>30</v>
      </c>
      <c r="E4" s="30" t="s">
        <v>218</v>
      </c>
      <c r="F4" s="2">
        <v>1</v>
      </c>
      <c r="G4" s="22" t="s">
        <v>42</v>
      </c>
      <c r="H4" s="24" t="s">
        <v>151</v>
      </c>
      <c r="I4" s="22">
        <v>2</v>
      </c>
      <c r="J4" s="2" t="s">
        <v>4</v>
      </c>
      <c r="K4" s="30" t="s">
        <v>211</v>
      </c>
      <c r="L4" s="22">
        <v>1</v>
      </c>
      <c r="M4" s="11" t="s">
        <v>75</v>
      </c>
      <c r="N4" s="9" t="s">
        <v>143</v>
      </c>
      <c r="O4" s="9">
        <v>1</v>
      </c>
      <c r="P4" s="1">
        <v>1</v>
      </c>
      <c r="Q4" s="32" t="s">
        <v>283</v>
      </c>
    </row>
    <row r="5" spans="1:17" ht="15" customHeight="1" x14ac:dyDescent="0.2">
      <c r="A5" s="2" t="s">
        <v>9</v>
      </c>
      <c r="B5" s="30" t="s">
        <v>219</v>
      </c>
      <c r="C5" s="2">
        <v>1</v>
      </c>
      <c r="D5" s="2" t="s">
        <v>31</v>
      </c>
      <c r="E5" s="30" t="s">
        <v>219</v>
      </c>
      <c r="F5" s="2">
        <v>1</v>
      </c>
      <c r="G5" s="22" t="s">
        <v>42</v>
      </c>
      <c r="H5" s="24" t="s">
        <v>151</v>
      </c>
      <c r="I5" s="22">
        <v>2</v>
      </c>
      <c r="J5" s="2" t="s">
        <v>4</v>
      </c>
      <c r="K5" s="30" t="s">
        <v>211</v>
      </c>
      <c r="L5" s="22">
        <v>1</v>
      </c>
      <c r="M5" s="11" t="s">
        <v>75</v>
      </c>
      <c r="N5" s="9" t="s">
        <v>143</v>
      </c>
      <c r="O5" s="9">
        <v>1</v>
      </c>
      <c r="P5" s="1">
        <v>1</v>
      </c>
      <c r="Q5" s="32" t="s">
        <v>283</v>
      </c>
    </row>
    <row r="6" spans="1:17" ht="15" customHeight="1" x14ac:dyDescent="0.2">
      <c r="A6" s="2" t="s">
        <v>10</v>
      </c>
      <c r="B6" s="30" t="s">
        <v>220</v>
      </c>
      <c r="C6" s="2">
        <v>1</v>
      </c>
      <c r="D6" s="2" t="s">
        <v>32</v>
      </c>
      <c r="E6" s="30" t="s">
        <v>220</v>
      </c>
      <c r="F6" s="2">
        <v>1</v>
      </c>
      <c r="G6" s="22" t="s">
        <v>42</v>
      </c>
      <c r="H6" s="24" t="s">
        <v>151</v>
      </c>
      <c r="I6" s="22">
        <v>2</v>
      </c>
      <c r="J6" s="2" t="s">
        <v>4</v>
      </c>
      <c r="K6" s="30" t="s">
        <v>211</v>
      </c>
      <c r="L6" s="22">
        <v>1</v>
      </c>
      <c r="M6" s="11" t="s">
        <v>75</v>
      </c>
      <c r="N6" s="9" t="s">
        <v>143</v>
      </c>
      <c r="O6" s="9">
        <v>1</v>
      </c>
      <c r="P6" s="1">
        <v>1</v>
      </c>
      <c r="Q6" s="32" t="s">
        <v>283</v>
      </c>
    </row>
    <row r="7" spans="1:17" ht="15" customHeight="1" x14ac:dyDescent="0.2">
      <c r="A7" s="2" t="s">
        <v>11</v>
      </c>
      <c r="B7" s="30" t="s">
        <v>221</v>
      </c>
      <c r="C7" s="2">
        <v>1</v>
      </c>
      <c r="D7" s="2" t="s">
        <v>33</v>
      </c>
      <c r="E7" s="30" t="s">
        <v>221</v>
      </c>
      <c r="F7" s="2">
        <v>1</v>
      </c>
      <c r="G7" s="22" t="s">
        <v>42</v>
      </c>
      <c r="H7" s="24" t="s">
        <v>151</v>
      </c>
      <c r="I7" s="22">
        <v>2</v>
      </c>
      <c r="J7" s="2" t="s">
        <v>4</v>
      </c>
      <c r="K7" s="30" t="s">
        <v>211</v>
      </c>
      <c r="L7" s="22">
        <v>1</v>
      </c>
      <c r="M7" s="11" t="s">
        <v>75</v>
      </c>
      <c r="N7" s="9" t="s">
        <v>143</v>
      </c>
      <c r="O7" s="9">
        <v>1</v>
      </c>
      <c r="P7" s="1">
        <v>1</v>
      </c>
      <c r="Q7" s="32" t="s">
        <v>283</v>
      </c>
    </row>
    <row r="8" spans="1:17" ht="15" customHeight="1" x14ac:dyDescent="0.2">
      <c r="A8" s="2" t="s">
        <v>12</v>
      </c>
      <c r="B8" s="30" t="s">
        <v>222</v>
      </c>
      <c r="C8" s="2">
        <v>1</v>
      </c>
      <c r="D8" s="2" t="s">
        <v>34</v>
      </c>
      <c r="E8" s="30" t="s">
        <v>222</v>
      </c>
      <c r="F8" s="2">
        <v>1</v>
      </c>
      <c r="G8" s="22" t="s">
        <v>42</v>
      </c>
      <c r="H8" s="24" t="s">
        <v>151</v>
      </c>
      <c r="I8" s="22">
        <v>2</v>
      </c>
      <c r="J8" s="2" t="s">
        <v>4</v>
      </c>
      <c r="K8" s="30" t="s">
        <v>211</v>
      </c>
      <c r="L8" s="22">
        <v>1</v>
      </c>
      <c r="M8" s="11" t="s">
        <v>75</v>
      </c>
      <c r="N8" s="9" t="s">
        <v>143</v>
      </c>
      <c r="O8" s="9">
        <v>1</v>
      </c>
      <c r="P8" s="1">
        <v>1</v>
      </c>
      <c r="Q8" s="32" t="s">
        <v>283</v>
      </c>
    </row>
    <row r="9" spans="1:17" ht="15" customHeight="1" x14ac:dyDescent="0.2">
      <c r="A9" s="2" t="s">
        <v>13</v>
      </c>
      <c r="B9" s="30" t="s">
        <v>223</v>
      </c>
      <c r="C9" s="2">
        <v>1</v>
      </c>
      <c r="D9" s="2" t="s">
        <v>35</v>
      </c>
      <c r="E9" s="30" t="s">
        <v>223</v>
      </c>
      <c r="F9" s="2">
        <v>1</v>
      </c>
      <c r="G9" s="22" t="s">
        <v>42</v>
      </c>
      <c r="H9" s="24" t="s">
        <v>151</v>
      </c>
      <c r="I9" s="22">
        <v>2</v>
      </c>
      <c r="J9" s="2" t="s">
        <v>4</v>
      </c>
      <c r="K9" s="30" t="s">
        <v>211</v>
      </c>
      <c r="L9" s="22">
        <v>1</v>
      </c>
      <c r="M9" s="11" t="s">
        <v>75</v>
      </c>
      <c r="N9" s="9" t="s">
        <v>143</v>
      </c>
      <c r="O9" s="9">
        <v>1</v>
      </c>
      <c r="P9" s="1">
        <v>1</v>
      </c>
      <c r="Q9" s="32" t="s">
        <v>283</v>
      </c>
    </row>
    <row r="10" spans="1:17" ht="15" customHeight="1" x14ac:dyDescent="0.2">
      <c r="A10" s="2" t="s">
        <v>14</v>
      </c>
      <c r="B10" s="30" t="s">
        <v>224</v>
      </c>
      <c r="C10" s="2">
        <v>1</v>
      </c>
      <c r="D10" s="2" t="s">
        <v>36</v>
      </c>
      <c r="E10" s="30" t="s">
        <v>224</v>
      </c>
      <c r="F10" s="2">
        <v>1</v>
      </c>
      <c r="G10" s="22" t="s">
        <v>42</v>
      </c>
      <c r="H10" s="24" t="s">
        <v>151</v>
      </c>
      <c r="I10" s="22">
        <v>2</v>
      </c>
      <c r="J10" s="2" t="s">
        <v>4</v>
      </c>
      <c r="K10" s="30" t="s">
        <v>211</v>
      </c>
      <c r="L10" s="22">
        <v>1</v>
      </c>
      <c r="M10" s="11" t="s">
        <v>75</v>
      </c>
      <c r="N10" s="9" t="s">
        <v>143</v>
      </c>
      <c r="O10" s="9">
        <v>1</v>
      </c>
      <c r="P10" s="1">
        <v>1</v>
      </c>
      <c r="Q10" s="32" t="s">
        <v>283</v>
      </c>
    </row>
    <row r="11" spans="1:17" ht="15" customHeight="1" x14ac:dyDescent="0.2">
      <c r="A11" s="2" t="s">
        <v>15</v>
      </c>
      <c r="B11" s="30" t="s">
        <v>225</v>
      </c>
      <c r="C11" s="2">
        <v>1</v>
      </c>
      <c r="D11" s="2" t="s">
        <v>37</v>
      </c>
      <c r="E11" s="30" t="s">
        <v>225</v>
      </c>
      <c r="F11" s="2">
        <v>1</v>
      </c>
      <c r="G11" s="22" t="s">
        <v>42</v>
      </c>
      <c r="H11" s="24" t="s">
        <v>151</v>
      </c>
      <c r="I11" s="22">
        <v>2</v>
      </c>
      <c r="J11" s="2" t="s">
        <v>4</v>
      </c>
      <c r="K11" s="30" t="s">
        <v>211</v>
      </c>
      <c r="L11" s="22">
        <v>1</v>
      </c>
      <c r="M11" s="11" t="s">
        <v>75</v>
      </c>
      <c r="N11" s="9" t="s">
        <v>143</v>
      </c>
      <c r="O11" s="9">
        <v>1</v>
      </c>
      <c r="P11" s="1">
        <v>1</v>
      </c>
      <c r="Q11" s="32" t="s">
        <v>283</v>
      </c>
    </row>
    <row r="12" spans="1:17" ht="15" customHeight="1" x14ac:dyDescent="0.2">
      <c r="A12" s="2" t="s">
        <v>16</v>
      </c>
      <c r="B12" s="30" t="s">
        <v>226</v>
      </c>
      <c r="C12" s="2">
        <v>1</v>
      </c>
      <c r="D12" s="2" t="s">
        <v>38</v>
      </c>
      <c r="E12" s="30" t="s">
        <v>226</v>
      </c>
      <c r="F12" s="2">
        <v>1</v>
      </c>
      <c r="G12" s="22" t="s">
        <v>42</v>
      </c>
      <c r="H12" s="24" t="s">
        <v>151</v>
      </c>
      <c r="I12" s="22">
        <v>2</v>
      </c>
      <c r="J12" s="2" t="s">
        <v>4</v>
      </c>
      <c r="K12" s="30" t="s">
        <v>211</v>
      </c>
      <c r="L12" s="22">
        <v>1</v>
      </c>
      <c r="M12" s="11" t="s">
        <v>75</v>
      </c>
      <c r="N12" s="9" t="s">
        <v>143</v>
      </c>
      <c r="O12" s="9">
        <v>1</v>
      </c>
      <c r="P12" s="1">
        <v>1</v>
      </c>
      <c r="Q12" s="32" t="s">
        <v>283</v>
      </c>
    </row>
    <row r="13" spans="1:17" ht="15" customHeight="1" x14ac:dyDescent="0.2">
      <c r="A13" s="2" t="s">
        <v>17</v>
      </c>
      <c r="B13" s="30" t="s">
        <v>227</v>
      </c>
      <c r="C13" s="2">
        <v>1</v>
      </c>
      <c r="D13" s="2" t="s">
        <v>39</v>
      </c>
      <c r="E13" s="30" t="s">
        <v>227</v>
      </c>
      <c r="F13" s="2">
        <v>1</v>
      </c>
      <c r="G13" s="22" t="s">
        <v>43</v>
      </c>
      <c r="H13" s="24" t="s">
        <v>152</v>
      </c>
      <c r="I13" s="22">
        <v>2</v>
      </c>
      <c r="J13" s="2" t="s">
        <v>4</v>
      </c>
      <c r="K13" s="30" t="s">
        <v>211</v>
      </c>
      <c r="L13" s="22">
        <v>1</v>
      </c>
      <c r="M13" s="11" t="s">
        <v>76</v>
      </c>
      <c r="N13" s="24" t="s">
        <v>157</v>
      </c>
      <c r="O13" s="9">
        <v>1</v>
      </c>
      <c r="P13" s="1">
        <v>1</v>
      </c>
      <c r="Q13" s="32" t="s">
        <v>283</v>
      </c>
    </row>
    <row r="14" spans="1:17" ht="15" customHeight="1" x14ac:dyDescent="0.2">
      <c r="A14" s="2" t="s">
        <v>18</v>
      </c>
      <c r="B14" s="30" t="s">
        <v>228</v>
      </c>
      <c r="C14" s="2">
        <v>1</v>
      </c>
      <c r="D14" s="2" t="s">
        <v>40</v>
      </c>
      <c r="E14" s="30" t="s">
        <v>228</v>
      </c>
      <c r="F14" s="2">
        <v>1</v>
      </c>
      <c r="G14" s="22" t="s">
        <v>42</v>
      </c>
      <c r="H14" s="24" t="s">
        <v>151</v>
      </c>
      <c r="I14" s="22">
        <v>2</v>
      </c>
      <c r="J14" s="2" t="s">
        <v>4</v>
      </c>
      <c r="K14" s="30" t="s">
        <v>211</v>
      </c>
      <c r="L14" s="22">
        <v>1</v>
      </c>
      <c r="M14" s="11" t="s">
        <v>75</v>
      </c>
      <c r="N14" s="9" t="s">
        <v>143</v>
      </c>
      <c r="O14" s="9">
        <v>1</v>
      </c>
      <c r="P14" s="1">
        <v>1</v>
      </c>
      <c r="Q14" s="32" t="s">
        <v>284</v>
      </c>
    </row>
    <row r="15" spans="1:17" ht="15" customHeight="1" x14ac:dyDescent="0.2">
      <c r="A15" s="33" t="s">
        <v>289</v>
      </c>
      <c r="B15" s="33" t="s">
        <v>288</v>
      </c>
      <c r="C15" s="2">
        <v>1</v>
      </c>
      <c r="D15" s="33" t="s">
        <v>290</v>
      </c>
      <c r="E15" s="33" t="s">
        <v>288</v>
      </c>
      <c r="F15" s="2">
        <v>1</v>
      </c>
      <c r="G15" s="22" t="s">
        <v>43</v>
      </c>
      <c r="H15" s="24" t="s">
        <v>152</v>
      </c>
      <c r="I15" s="22">
        <v>2</v>
      </c>
      <c r="J15" s="2" t="s">
        <v>4</v>
      </c>
      <c r="K15" s="30" t="s">
        <v>211</v>
      </c>
      <c r="L15" s="22">
        <v>1</v>
      </c>
      <c r="M15" s="11" t="s">
        <v>76</v>
      </c>
      <c r="N15" s="24" t="s">
        <v>157</v>
      </c>
      <c r="O15" s="9">
        <v>1</v>
      </c>
      <c r="P15" s="1">
        <v>1</v>
      </c>
      <c r="Q15" s="32" t="s">
        <v>284</v>
      </c>
    </row>
    <row r="16" spans="1:17" ht="15" customHeight="1" x14ac:dyDescent="0.2">
      <c r="A16" s="2" t="s">
        <v>19</v>
      </c>
      <c r="B16" s="30" t="s">
        <v>229</v>
      </c>
      <c r="C16" s="2">
        <v>1</v>
      </c>
      <c r="D16" s="2" t="s">
        <v>41</v>
      </c>
      <c r="E16" s="30" t="s">
        <v>229</v>
      </c>
      <c r="F16" s="2">
        <v>1</v>
      </c>
      <c r="G16" s="22" t="s">
        <v>43</v>
      </c>
      <c r="H16" s="24" t="s">
        <v>152</v>
      </c>
      <c r="I16" s="22">
        <v>2</v>
      </c>
      <c r="J16" s="2" t="s">
        <v>4</v>
      </c>
      <c r="K16" s="30" t="s">
        <v>211</v>
      </c>
      <c r="L16" s="22">
        <v>1</v>
      </c>
      <c r="M16" s="11" t="s">
        <v>76</v>
      </c>
      <c r="N16" s="24" t="s">
        <v>157</v>
      </c>
      <c r="O16" s="9">
        <v>1</v>
      </c>
      <c r="P16" s="1">
        <v>1</v>
      </c>
      <c r="Q16" s="32" t="s">
        <v>284</v>
      </c>
    </row>
    <row r="17" spans="1:17" ht="15" customHeight="1" x14ac:dyDescent="0.2">
      <c r="A17" s="2" t="s">
        <v>20</v>
      </c>
      <c r="B17" s="30" t="s">
        <v>230</v>
      </c>
      <c r="C17" s="2">
        <v>2</v>
      </c>
      <c r="F17" s="2"/>
      <c r="G17" s="22" t="s">
        <v>42</v>
      </c>
      <c r="H17" s="24" t="s">
        <v>151</v>
      </c>
      <c r="I17" s="22">
        <v>2</v>
      </c>
      <c r="J17" s="2" t="s">
        <v>5</v>
      </c>
      <c r="K17" s="30" t="s">
        <v>212</v>
      </c>
      <c r="L17" s="22">
        <v>1</v>
      </c>
      <c r="M17" s="11" t="s">
        <v>75</v>
      </c>
      <c r="N17" s="9" t="s">
        <v>143</v>
      </c>
      <c r="O17" s="9">
        <v>1</v>
      </c>
      <c r="P17" s="1">
        <v>2</v>
      </c>
      <c r="Q17" s="32" t="s">
        <v>282</v>
      </c>
    </row>
    <row r="18" spans="1:17" ht="15" customHeight="1" x14ac:dyDescent="0.2">
      <c r="A18" s="2" t="s">
        <v>21</v>
      </c>
      <c r="B18" s="30" t="s">
        <v>231</v>
      </c>
      <c r="C18" s="2">
        <v>2</v>
      </c>
      <c r="F18" s="2"/>
      <c r="G18" s="22" t="s">
        <v>43</v>
      </c>
      <c r="H18" s="24" t="s">
        <v>152</v>
      </c>
      <c r="I18" s="22">
        <v>2</v>
      </c>
      <c r="J18" s="2" t="s">
        <v>5</v>
      </c>
      <c r="K18" s="30" t="s">
        <v>212</v>
      </c>
      <c r="L18" s="22">
        <v>1</v>
      </c>
      <c r="M18" s="11" t="s">
        <v>76</v>
      </c>
      <c r="N18" s="24" t="s">
        <v>157</v>
      </c>
      <c r="O18" s="9">
        <v>1</v>
      </c>
      <c r="P18" s="1">
        <v>2</v>
      </c>
      <c r="Q18" s="32" t="s">
        <v>284</v>
      </c>
    </row>
    <row r="19" spans="1:17" ht="15" customHeight="1" x14ac:dyDescent="0.2">
      <c r="A19" s="2" t="s">
        <v>22</v>
      </c>
      <c r="B19" s="30" t="s">
        <v>232</v>
      </c>
      <c r="C19" s="2">
        <v>2</v>
      </c>
      <c r="F19" s="2"/>
      <c r="G19" s="22" t="s">
        <v>42</v>
      </c>
      <c r="H19" s="24" t="s">
        <v>151</v>
      </c>
      <c r="I19" s="22">
        <v>2</v>
      </c>
      <c r="J19" s="2" t="s">
        <v>5</v>
      </c>
      <c r="K19" s="30" t="s">
        <v>212</v>
      </c>
      <c r="L19" s="22">
        <v>1</v>
      </c>
      <c r="M19" s="11" t="s">
        <v>75</v>
      </c>
      <c r="N19" s="9" t="s">
        <v>143</v>
      </c>
      <c r="O19" s="9">
        <v>1</v>
      </c>
      <c r="P19" s="1">
        <v>2</v>
      </c>
      <c r="Q19" s="32" t="s">
        <v>283</v>
      </c>
    </row>
    <row r="20" spans="1:17" ht="15" customHeight="1" x14ac:dyDescent="0.2">
      <c r="A20" s="2" t="s">
        <v>23</v>
      </c>
      <c r="B20" s="30" t="s">
        <v>233</v>
      </c>
      <c r="C20" s="2">
        <v>2</v>
      </c>
      <c r="F20" s="2"/>
      <c r="G20" s="22" t="s">
        <v>42</v>
      </c>
      <c r="H20" s="24" t="s">
        <v>151</v>
      </c>
      <c r="I20" s="22">
        <v>2</v>
      </c>
      <c r="J20" s="2" t="s">
        <v>5</v>
      </c>
      <c r="K20" s="30" t="s">
        <v>212</v>
      </c>
      <c r="L20" s="22">
        <v>1</v>
      </c>
      <c r="M20" s="11" t="s">
        <v>75</v>
      </c>
      <c r="N20" s="9" t="s">
        <v>143</v>
      </c>
      <c r="O20" s="9">
        <v>1</v>
      </c>
      <c r="P20" s="1">
        <v>2</v>
      </c>
      <c r="Q20" s="32" t="s">
        <v>283</v>
      </c>
    </row>
    <row r="21" spans="1:17" ht="15" customHeight="1" x14ac:dyDescent="0.2">
      <c r="A21" s="2" t="s">
        <v>24</v>
      </c>
      <c r="B21" s="30" t="s">
        <v>234</v>
      </c>
      <c r="C21" s="2">
        <v>2</v>
      </c>
      <c r="F21" s="2"/>
      <c r="G21" s="22" t="s">
        <v>42</v>
      </c>
      <c r="H21" s="24" t="s">
        <v>151</v>
      </c>
      <c r="I21" s="22">
        <v>2</v>
      </c>
      <c r="J21" s="2" t="s">
        <v>5</v>
      </c>
      <c r="K21" s="30" t="s">
        <v>212</v>
      </c>
      <c r="L21" s="22">
        <v>1</v>
      </c>
      <c r="M21" s="11" t="s">
        <v>75</v>
      </c>
      <c r="N21" s="9" t="s">
        <v>143</v>
      </c>
      <c r="O21" s="9">
        <v>1</v>
      </c>
      <c r="P21" s="1">
        <v>2</v>
      </c>
      <c r="Q21" s="32" t="s">
        <v>283</v>
      </c>
    </row>
    <row r="22" spans="1:17" ht="15" customHeight="1" x14ac:dyDescent="0.2">
      <c r="A22" s="2" t="s">
        <v>25</v>
      </c>
      <c r="B22" s="30" t="s">
        <v>235</v>
      </c>
      <c r="C22" s="2">
        <v>2</v>
      </c>
      <c r="F22" s="2"/>
      <c r="G22" s="22" t="s">
        <v>42</v>
      </c>
      <c r="H22" s="24" t="s">
        <v>151</v>
      </c>
      <c r="I22" s="22">
        <v>2</v>
      </c>
      <c r="J22" s="2" t="s">
        <v>5</v>
      </c>
      <c r="K22" s="30" t="s">
        <v>212</v>
      </c>
      <c r="L22" s="22">
        <v>1</v>
      </c>
      <c r="M22" s="11" t="s">
        <v>75</v>
      </c>
      <c r="N22" s="9" t="s">
        <v>143</v>
      </c>
      <c r="O22" s="9">
        <v>1</v>
      </c>
      <c r="P22" s="1">
        <v>2</v>
      </c>
      <c r="Q22" s="32" t="s">
        <v>283</v>
      </c>
    </row>
    <row r="23" spans="1:17" ht="15" customHeight="1" x14ac:dyDescent="0.2">
      <c r="A23" s="2" t="s">
        <v>26</v>
      </c>
      <c r="B23" s="30" t="s">
        <v>236</v>
      </c>
      <c r="C23" s="2">
        <v>2</v>
      </c>
      <c r="F23" s="2"/>
      <c r="G23" s="22" t="s">
        <v>42</v>
      </c>
      <c r="H23" s="24" t="s">
        <v>151</v>
      </c>
      <c r="I23" s="22">
        <v>2</v>
      </c>
      <c r="J23" s="2" t="s">
        <v>5</v>
      </c>
      <c r="K23" s="30" t="s">
        <v>212</v>
      </c>
      <c r="L23" s="22">
        <v>1</v>
      </c>
      <c r="M23" s="11" t="s">
        <v>75</v>
      </c>
      <c r="N23" s="9" t="s">
        <v>143</v>
      </c>
      <c r="O23" s="9">
        <v>1</v>
      </c>
      <c r="P23" s="1">
        <v>2</v>
      </c>
      <c r="Q23" s="32" t="s">
        <v>283</v>
      </c>
    </row>
    <row r="24" spans="1:17" ht="15" customHeight="1" x14ac:dyDescent="0.2">
      <c r="A24" s="2" t="s">
        <v>27</v>
      </c>
      <c r="B24" s="30" t="s">
        <v>237</v>
      </c>
      <c r="C24" s="2">
        <v>2</v>
      </c>
      <c r="F24" s="2"/>
      <c r="G24" s="22" t="s">
        <v>43</v>
      </c>
      <c r="H24" s="24" t="s">
        <v>152</v>
      </c>
      <c r="I24" s="22">
        <v>2</v>
      </c>
      <c r="J24" s="2" t="s">
        <v>5</v>
      </c>
      <c r="K24" s="30" t="s">
        <v>212</v>
      </c>
      <c r="L24" s="22">
        <v>1</v>
      </c>
      <c r="M24" s="11" t="s">
        <v>76</v>
      </c>
      <c r="N24" s="24" t="s">
        <v>157</v>
      </c>
      <c r="O24" s="9">
        <v>1</v>
      </c>
      <c r="P24" s="1">
        <v>2</v>
      </c>
      <c r="Q24" s="32" t="s">
        <v>284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2985-442E-438B-B82E-80DD04CB0207}">
  <sheetPr codeName="Sheet10"/>
  <dimension ref="A1:I17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7109375" style="2" bestFit="1" customWidth="1"/>
    <col min="2" max="2" width="18.7109375" style="2" bestFit="1" customWidth="1"/>
    <col min="3" max="3" width="4.5703125" style="2" bestFit="1" customWidth="1"/>
    <col min="4" max="4" width="8.85546875" style="1" bestFit="1" customWidth="1"/>
    <col min="5" max="5" width="21.42578125" style="1" bestFit="1" customWidth="1"/>
    <col min="6" max="6" width="4.5703125" style="1" bestFit="1" customWidth="1"/>
    <col min="7" max="7" width="13.28515625" style="2" bestFit="1" customWidth="1"/>
    <col min="8" max="8" width="9.5703125" style="2" bestFit="1" customWidth="1"/>
    <col min="9" max="9" width="8.140625" style="2" bestFit="1" customWidth="1"/>
    <col min="10" max="16384" width="9.140625" style="1"/>
  </cols>
  <sheetData>
    <row r="1" spans="1:9" ht="15" customHeight="1" x14ac:dyDescent="0.2">
      <c r="A1" s="2" t="s">
        <v>94</v>
      </c>
      <c r="B1" s="2" t="s">
        <v>95</v>
      </c>
      <c r="C1" s="2" t="s">
        <v>96</v>
      </c>
      <c r="D1" s="2" t="s">
        <v>99</v>
      </c>
      <c r="E1" s="2" t="s">
        <v>100</v>
      </c>
      <c r="F1" s="1" t="s">
        <v>101</v>
      </c>
      <c r="G1" s="2" t="s">
        <v>98</v>
      </c>
      <c r="H1" s="5" t="s">
        <v>121</v>
      </c>
      <c r="I1" s="5" t="s">
        <v>122</v>
      </c>
    </row>
    <row r="2" spans="1:9" ht="15" customHeight="1" x14ac:dyDescent="0.2">
      <c r="A2" s="2" t="s">
        <v>44</v>
      </c>
      <c r="B2" s="2" t="s">
        <v>105</v>
      </c>
      <c r="C2" s="2">
        <v>1</v>
      </c>
      <c r="D2" s="2" t="s">
        <v>47</v>
      </c>
      <c r="E2" s="2" t="s">
        <v>110</v>
      </c>
      <c r="F2" s="2">
        <v>1</v>
      </c>
      <c r="G2" s="2">
        <v>1</v>
      </c>
      <c r="H2" s="2">
        <v>2666</v>
      </c>
      <c r="I2" s="2" t="s">
        <v>108</v>
      </c>
    </row>
    <row r="3" spans="1:9" ht="15" customHeight="1" x14ac:dyDescent="0.2">
      <c r="A3" s="2" t="s">
        <v>45</v>
      </c>
      <c r="B3" s="2" t="s">
        <v>106</v>
      </c>
      <c r="C3" s="2">
        <v>1</v>
      </c>
      <c r="D3" s="2" t="s">
        <v>47</v>
      </c>
      <c r="E3" s="2" t="s">
        <v>110</v>
      </c>
      <c r="F3" s="2">
        <v>1</v>
      </c>
      <c r="G3" s="2">
        <v>1</v>
      </c>
      <c r="H3" s="2">
        <v>2666</v>
      </c>
      <c r="I3" s="2" t="s">
        <v>109</v>
      </c>
    </row>
    <row r="4" spans="1:9" ht="15" customHeight="1" x14ac:dyDescent="0.2">
      <c r="A4" s="2" t="s">
        <v>46</v>
      </c>
      <c r="B4" s="2" t="s">
        <v>107</v>
      </c>
      <c r="C4" s="2">
        <v>1</v>
      </c>
      <c r="D4" s="2" t="s">
        <v>47</v>
      </c>
      <c r="E4" s="2" t="s">
        <v>110</v>
      </c>
      <c r="F4" s="2">
        <v>1</v>
      </c>
      <c r="G4" s="2">
        <v>2</v>
      </c>
      <c r="H4" s="2">
        <v>2933</v>
      </c>
      <c r="I4" s="2" t="s">
        <v>108</v>
      </c>
    </row>
    <row r="5" spans="1:9" ht="15" customHeight="1" x14ac:dyDescent="0.2">
      <c r="A5" s="1"/>
      <c r="B5" s="1"/>
      <c r="C5" s="1"/>
      <c r="G5" s="1"/>
      <c r="H5" s="1"/>
      <c r="I5" s="1"/>
    </row>
    <row r="6" spans="1:9" ht="15" customHeight="1" x14ac:dyDescent="0.2">
      <c r="A6" s="1"/>
      <c r="B6" s="1"/>
      <c r="C6" s="1"/>
      <c r="G6" s="1"/>
      <c r="H6" s="1"/>
      <c r="I6" s="1"/>
    </row>
    <row r="7" spans="1:9" ht="15" customHeight="1" x14ac:dyDescent="0.2">
      <c r="A7" s="1"/>
      <c r="B7" s="1"/>
      <c r="C7" s="1"/>
      <c r="G7" s="1"/>
      <c r="H7" s="1"/>
      <c r="I7" s="1"/>
    </row>
    <row r="8" spans="1:9" ht="15" customHeight="1" x14ac:dyDescent="0.2">
      <c r="A8" s="1"/>
      <c r="B8" s="1"/>
      <c r="C8" s="1"/>
      <c r="G8" s="1"/>
      <c r="H8" s="1"/>
      <c r="I8" s="1"/>
    </row>
    <row r="9" spans="1:9" ht="15" customHeight="1" x14ac:dyDescent="0.2">
      <c r="A9" s="1"/>
      <c r="B9" s="1"/>
      <c r="C9" s="1"/>
      <c r="G9" s="1"/>
      <c r="H9" s="1"/>
      <c r="I9" s="1"/>
    </row>
    <row r="10" spans="1:9" ht="12.75" x14ac:dyDescent="0.2">
      <c r="A10" s="1"/>
      <c r="B10" s="1"/>
      <c r="C10" s="1"/>
      <c r="G10" s="1"/>
      <c r="H10" s="1"/>
      <c r="I10" s="1"/>
    </row>
    <row r="11" spans="1:9" ht="15" customHeight="1" x14ac:dyDescent="0.2">
      <c r="A11" s="1"/>
      <c r="B11" s="1"/>
      <c r="C11" s="1"/>
      <c r="G11" s="1"/>
      <c r="H11" s="1"/>
      <c r="I11" s="1"/>
    </row>
    <row r="12" spans="1:9" ht="15" customHeight="1" x14ac:dyDescent="0.2">
      <c r="A12" s="1"/>
      <c r="B12" s="1"/>
      <c r="C12" s="1"/>
      <c r="G12" s="1"/>
      <c r="H12" s="1"/>
      <c r="I12" s="1"/>
    </row>
    <row r="13" spans="1:9" ht="15" customHeight="1" x14ac:dyDescent="0.2">
      <c r="A13" s="1"/>
      <c r="B13" s="1"/>
      <c r="C13" s="1"/>
      <c r="G13" s="1"/>
      <c r="H13" s="1"/>
      <c r="I13" s="1"/>
    </row>
    <row r="14" spans="1:9" ht="15" customHeight="1" x14ac:dyDescent="0.2">
      <c r="A14" s="1"/>
      <c r="B14" s="1"/>
      <c r="C14" s="1"/>
      <c r="G14" s="1"/>
      <c r="H14" s="1"/>
      <c r="I14" s="1"/>
    </row>
    <row r="15" spans="1:9" ht="15" customHeight="1" x14ac:dyDescent="0.2">
      <c r="A15" s="1"/>
      <c r="B15" s="1"/>
      <c r="C15" s="1"/>
      <c r="G15" s="1"/>
      <c r="H15" s="1"/>
      <c r="I15" s="1"/>
    </row>
    <row r="16" spans="1:9" ht="15" customHeight="1" x14ac:dyDescent="0.2">
      <c r="A16" s="1"/>
      <c r="B16" s="1"/>
      <c r="C16" s="1"/>
      <c r="G16" s="1"/>
      <c r="H16" s="1"/>
      <c r="I16" s="1"/>
    </row>
    <row r="17" spans="1:9" ht="15" customHeight="1" x14ac:dyDescent="0.2">
      <c r="A17" s="1"/>
      <c r="B17" s="1"/>
      <c r="C17" s="1"/>
      <c r="G17" s="1"/>
      <c r="H17" s="1"/>
      <c r="I17" s="1"/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FAA82-A24E-4805-9F1A-EA8704B45FD7}">
  <sheetPr codeName="Sheet12"/>
  <dimension ref="A1:H34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85546875" style="1" bestFit="1" customWidth="1"/>
    <col min="2" max="2" width="34.5703125" style="2" bestFit="1" customWidth="1"/>
    <col min="3" max="3" width="4.5703125" style="2" bestFit="1" customWidth="1"/>
    <col min="4" max="4" width="9.5703125" style="2" bestFit="1" customWidth="1"/>
    <col min="5" max="5" width="8.140625" style="2" bestFit="1" customWidth="1"/>
    <col min="6" max="6" width="12.7109375" style="1" bestFit="1" customWidth="1"/>
    <col min="7" max="7" width="9.140625" style="1"/>
    <col min="8" max="8" width="9.85546875" style="1" bestFit="1" customWidth="1"/>
    <col min="9" max="16384" width="9.140625" style="1"/>
  </cols>
  <sheetData>
    <row r="1" spans="1:8" ht="15" customHeight="1" x14ac:dyDescent="0.2">
      <c r="A1" s="2" t="s">
        <v>94</v>
      </c>
      <c r="B1" s="2" t="s">
        <v>95</v>
      </c>
      <c r="C1" s="1" t="s">
        <v>96</v>
      </c>
      <c r="D1" s="5" t="s">
        <v>121</v>
      </c>
      <c r="E1" s="5" t="s">
        <v>122</v>
      </c>
      <c r="F1" s="32" t="s">
        <v>285</v>
      </c>
    </row>
    <row r="2" spans="1:8" ht="15" customHeight="1" x14ac:dyDescent="0.25">
      <c r="A2" s="2" t="s">
        <v>48</v>
      </c>
      <c r="B2" s="2" t="s">
        <v>111</v>
      </c>
      <c r="C2" s="1">
        <v>16</v>
      </c>
      <c r="D2" s="1">
        <v>2666</v>
      </c>
      <c r="E2" s="2" t="s">
        <v>108</v>
      </c>
      <c r="F2" s="1">
        <v>8</v>
      </c>
      <c r="H2"/>
    </row>
    <row r="3" spans="1:8" ht="15" customHeight="1" x14ac:dyDescent="0.25">
      <c r="A3" s="2" t="s">
        <v>49</v>
      </c>
      <c r="B3" s="2" t="s">
        <v>112</v>
      </c>
      <c r="C3" s="1">
        <v>12</v>
      </c>
      <c r="D3" s="1">
        <v>2666</v>
      </c>
      <c r="E3" s="2" t="s">
        <v>108</v>
      </c>
      <c r="F3" s="1">
        <v>16</v>
      </c>
      <c r="H3"/>
    </row>
    <row r="4" spans="1:8" ht="15" customHeight="1" x14ac:dyDescent="0.25">
      <c r="A4" s="2" t="s">
        <v>49</v>
      </c>
      <c r="B4" s="2" t="s">
        <v>112</v>
      </c>
      <c r="C4" s="1">
        <v>16</v>
      </c>
      <c r="D4" s="1">
        <v>2666</v>
      </c>
      <c r="E4" s="2" t="s">
        <v>108</v>
      </c>
      <c r="F4" s="1">
        <v>16</v>
      </c>
      <c r="H4"/>
    </row>
    <row r="5" spans="1:8" ht="15" customHeight="1" x14ac:dyDescent="0.25">
      <c r="A5" s="2" t="s">
        <v>49</v>
      </c>
      <c r="B5" s="2" t="s">
        <v>112</v>
      </c>
      <c r="C5" s="1">
        <v>18</v>
      </c>
      <c r="D5" s="1">
        <v>2666</v>
      </c>
      <c r="E5" s="2" t="s">
        <v>108</v>
      </c>
      <c r="F5" s="1">
        <v>16</v>
      </c>
      <c r="H5"/>
    </row>
    <row r="6" spans="1:8" ht="15" customHeight="1" x14ac:dyDescent="0.25">
      <c r="A6" s="2" t="s">
        <v>50</v>
      </c>
      <c r="B6" s="2" t="s">
        <v>113</v>
      </c>
      <c r="C6" s="1">
        <v>12</v>
      </c>
      <c r="D6" s="1">
        <v>2666</v>
      </c>
      <c r="E6" s="2" t="s">
        <v>108</v>
      </c>
      <c r="F6" s="1">
        <v>32</v>
      </c>
      <c r="H6"/>
    </row>
    <row r="7" spans="1:8" ht="15" customHeight="1" x14ac:dyDescent="0.25">
      <c r="A7" s="2" t="s">
        <v>50</v>
      </c>
      <c r="B7" s="2" t="s">
        <v>113</v>
      </c>
      <c r="C7" s="1">
        <v>16</v>
      </c>
      <c r="D7" s="1">
        <v>2666</v>
      </c>
      <c r="E7" s="2" t="s">
        <v>108</v>
      </c>
      <c r="F7" s="1">
        <v>32</v>
      </c>
      <c r="H7"/>
    </row>
    <row r="8" spans="1:8" ht="15" customHeight="1" x14ac:dyDescent="0.25">
      <c r="A8" s="2" t="s">
        <v>50</v>
      </c>
      <c r="B8" s="2" t="s">
        <v>113</v>
      </c>
      <c r="C8" s="1">
        <v>18</v>
      </c>
      <c r="D8" s="1">
        <v>2666</v>
      </c>
      <c r="E8" s="2" t="s">
        <v>108</v>
      </c>
      <c r="F8" s="1">
        <v>32</v>
      </c>
      <c r="H8"/>
    </row>
    <row r="9" spans="1:8" ht="15" customHeight="1" x14ac:dyDescent="0.25">
      <c r="A9" s="2" t="s">
        <v>50</v>
      </c>
      <c r="B9" s="2" t="s">
        <v>113</v>
      </c>
      <c r="C9" s="1">
        <v>24</v>
      </c>
      <c r="D9" s="1">
        <v>2666</v>
      </c>
      <c r="E9" s="2" t="s">
        <v>108</v>
      </c>
      <c r="F9" s="1">
        <v>32</v>
      </c>
      <c r="H9"/>
    </row>
    <row r="10" spans="1:8" ht="15" customHeight="1" x14ac:dyDescent="0.25">
      <c r="A10" s="2" t="s">
        <v>51</v>
      </c>
      <c r="B10" s="2" t="s">
        <v>114</v>
      </c>
      <c r="C10" s="1">
        <v>10</v>
      </c>
      <c r="D10" s="1">
        <v>2666</v>
      </c>
      <c r="E10" s="2" t="s">
        <v>109</v>
      </c>
      <c r="F10" s="1">
        <v>64</v>
      </c>
      <c r="H10"/>
    </row>
    <row r="11" spans="1:8" ht="15" customHeight="1" x14ac:dyDescent="0.25">
      <c r="A11" s="2" t="s">
        <v>51</v>
      </c>
      <c r="B11" s="2" t="s">
        <v>114</v>
      </c>
      <c r="C11" s="1">
        <v>12</v>
      </c>
      <c r="D11" s="1">
        <v>2666</v>
      </c>
      <c r="E11" s="2" t="s">
        <v>109</v>
      </c>
      <c r="F11" s="1">
        <v>64</v>
      </c>
      <c r="H11"/>
    </row>
    <row r="12" spans="1:8" ht="15" customHeight="1" x14ac:dyDescent="0.25">
      <c r="A12" s="2" t="s">
        <v>51</v>
      </c>
      <c r="B12" s="2" t="s">
        <v>114</v>
      </c>
      <c r="C12" s="1">
        <v>24</v>
      </c>
      <c r="D12" s="1">
        <v>2666</v>
      </c>
      <c r="E12" s="2" t="s">
        <v>109</v>
      </c>
      <c r="F12" s="1">
        <v>64</v>
      </c>
      <c r="H12"/>
    </row>
    <row r="13" spans="1:8" ht="15" customHeight="1" x14ac:dyDescent="0.25">
      <c r="A13" s="28" t="s">
        <v>200</v>
      </c>
      <c r="B13" s="1" t="s">
        <v>201</v>
      </c>
      <c r="C13" s="1">
        <v>12</v>
      </c>
      <c r="D13" s="1">
        <v>2933</v>
      </c>
      <c r="E13" s="28" t="s">
        <v>108</v>
      </c>
      <c r="F13" s="1">
        <v>16</v>
      </c>
      <c r="H13"/>
    </row>
    <row r="14" spans="1:8" ht="15" customHeight="1" x14ac:dyDescent="0.25">
      <c r="A14" s="28" t="s">
        <v>203</v>
      </c>
      <c r="B14" s="28" t="s">
        <v>202</v>
      </c>
      <c r="C14" s="1">
        <v>12</v>
      </c>
      <c r="D14" s="1">
        <v>2933</v>
      </c>
      <c r="E14" s="28" t="s">
        <v>108</v>
      </c>
      <c r="F14" s="1">
        <v>32</v>
      </c>
      <c r="H14"/>
    </row>
    <row r="15" spans="1:8" x14ac:dyDescent="0.25">
      <c r="A15" s="28" t="s">
        <v>203</v>
      </c>
      <c r="B15" s="28" t="s">
        <v>202</v>
      </c>
      <c r="C15" s="1">
        <v>24</v>
      </c>
      <c r="D15" s="1">
        <v>2933</v>
      </c>
      <c r="E15" s="28" t="s">
        <v>108</v>
      </c>
      <c r="F15" s="1">
        <v>32</v>
      </c>
      <c r="H15"/>
    </row>
    <row r="16" spans="1:8" ht="15" customHeight="1" x14ac:dyDescent="0.25">
      <c r="A16" s="28" t="s">
        <v>205</v>
      </c>
      <c r="B16" s="28" t="s">
        <v>204</v>
      </c>
      <c r="C16" s="1">
        <v>12</v>
      </c>
      <c r="D16" s="1">
        <v>2933</v>
      </c>
      <c r="E16" s="28" t="s">
        <v>108</v>
      </c>
      <c r="F16" s="1">
        <v>64</v>
      </c>
      <c r="H16"/>
    </row>
    <row r="17" spans="2:8" ht="15" customHeight="1" x14ac:dyDescent="0.25">
      <c r="B17" s="1"/>
      <c r="C17" s="1"/>
      <c r="D17" s="1"/>
      <c r="E17" s="1"/>
      <c r="H17"/>
    </row>
    <row r="18" spans="2:8" ht="15" customHeight="1" x14ac:dyDescent="0.25">
      <c r="B18" s="1"/>
      <c r="C18" s="1"/>
      <c r="D18" s="1"/>
      <c r="E18" s="1"/>
      <c r="H18"/>
    </row>
    <row r="19" spans="2:8" ht="15" customHeight="1" x14ac:dyDescent="0.25">
      <c r="B19" s="1"/>
      <c r="C19" s="1"/>
      <c r="D19" s="1"/>
      <c r="E19" s="1"/>
      <c r="H19"/>
    </row>
    <row r="20" spans="2:8" ht="15" customHeight="1" x14ac:dyDescent="0.25">
      <c r="B20" s="1"/>
      <c r="C20" s="1"/>
      <c r="D20" s="1"/>
      <c r="E20" s="1"/>
      <c r="H20"/>
    </row>
    <row r="21" spans="2:8" ht="15" customHeight="1" x14ac:dyDescent="0.25">
      <c r="B21" s="1"/>
      <c r="C21" s="1"/>
      <c r="D21" s="1"/>
      <c r="E21" s="1"/>
      <c r="H21"/>
    </row>
    <row r="22" spans="2:8" ht="15" customHeight="1" x14ac:dyDescent="0.25">
      <c r="H22"/>
    </row>
    <row r="23" spans="2:8" ht="15" customHeight="1" x14ac:dyDescent="0.25">
      <c r="H23"/>
    </row>
    <row r="24" spans="2:8" ht="15" customHeight="1" x14ac:dyDescent="0.25">
      <c r="H24"/>
    </row>
    <row r="25" spans="2:8" ht="15" customHeight="1" x14ac:dyDescent="0.25">
      <c r="H25"/>
    </row>
    <row r="26" spans="2:8" ht="15" customHeight="1" x14ac:dyDescent="0.25">
      <c r="H26"/>
    </row>
    <row r="27" spans="2:8" ht="15" customHeight="1" x14ac:dyDescent="0.25">
      <c r="H27"/>
    </row>
    <row r="28" spans="2:8" ht="15" customHeight="1" x14ac:dyDescent="0.25">
      <c r="H28"/>
    </row>
    <row r="29" spans="2:8" ht="15" customHeight="1" x14ac:dyDescent="0.25">
      <c r="H29"/>
    </row>
    <row r="30" spans="2:8" ht="15" customHeight="1" x14ac:dyDescent="0.25">
      <c r="H30"/>
    </row>
    <row r="31" spans="2:8" ht="15" customHeight="1" x14ac:dyDescent="0.25">
      <c r="H31"/>
    </row>
    <row r="32" spans="2:8" ht="15" customHeight="1" x14ac:dyDescent="0.25">
      <c r="H32"/>
    </row>
    <row r="33" spans="8:8" ht="15" customHeight="1" x14ac:dyDescent="0.25">
      <c r="H33"/>
    </row>
    <row r="34" spans="8:8" ht="15" customHeight="1" x14ac:dyDescent="0.25">
      <c r="H34"/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939D-E0A4-4BB4-9C8E-AAD134DEEB3D}">
  <sheetPr codeName="Sheet15"/>
  <dimension ref="A1:E21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10" style="8" bestFit="1" customWidth="1"/>
    <col min="2" max="2" width="79.42578125" style="7" bestFit="1" customWidth="1"/>
    <col min="3" max="3" width="4.5703125" style="7" bestFit="1" customWidth="1"/>
    <col min="4" max="4" width="9.140625" style="8"/>
    <col min="5" max="5" width="9.5703125" style="8" bestFit="1" customWidth="1"/>
    <col min="6" max="16384" width="9.140625" style="8"/>
  </cols>
  <sheetData>
    <row r="1" spans="1:5" ht="15" customHeight="1" x14ac:dyDescent="0.2">
      <c r="A1" s="21" t="s">
        <v>94</v>
      </c>
      <c r="B1" s="7" t="s">
        <v>95</v>
      </c>
      <c r="C1" s="7" t="s">
        <v>96</v>
      </c>
      <c r="D1" s="28" t="s">
        <v>206</v>
      </c>
      <c r="E1" s="31" t="s">
        <v>210</v>
      </c>
    </row>
    <row r="2" spans="1:5" ht="15" customHeight="1" x14ac:dyDescent="0.2">
      <c r="A2" s="27" t="s">
        <v>54</v>
      </c>
      <c r="B2" s="30" t="s">
        <v>207</v>
      </c>
      <c r="C2" s="27">
        <v>2</v>
      </c>
      <c r="D2" s="28">
        <f>1.92*1000</f>
        <v>1920</v>
      </c>
      <c r="E2" s="8">
        <v>1</v>
      </c>
    </row>
    <row r="3" spans="1:5" ht="15" customHeight="1" x14ac:dyDescent="0.2">
      <c r="A3" s="27" t="s">
        <v>54</v>
      </c>
      <c r="B3" s="30" t="s">
        <v>207</v>
      </c>
      <c r="C3" s="27">
        <v>4</v>
      </c>
      <c r="D3" s="28">
        <f t="shared" ref="D3:D5" si="0">1.92*1000</f>
        <v>1920</v>
      </c>
      <c r="E3" s="8">
        <v>1</v>
      </c>
    </row>
    <row r="4" spans="1:5" ht="15" customHeight="1" x14ac:dyDescent="0.2">
      <c r="A4" s="27" t="s">
        <v>54</v>
      </c>
      <c r="B4" s="30" t="s">
        <v>207</v>
      </c>
      <c r="C4" s="27">
        <v>5</v>
      </c>
      <c r="D4" s="28">
        <f t="shared" si="0"/>
        <v>1920</v>
      </c>
      <c r="E4" s="8">
        <v>2</v>
      </c>
    </row>
    <row r="5" spans="1:5" ht="15" customHeight="1" x14ac:dyDescent="0.2">
      <c r="A5" s="27" t="s">
        <v>54</v>
      </c>
      <c r="B5" s="30" t="s">
        <v>207</v>
      </c>
      <c r="C5" s="27">
        <v>6</v>
      </c>
      <c r="D5" s="28">
        <f t="shared" si="0"/>
        <v>1920</v>
      </c>
      <c r="E5" s="8">
        <v>2</v>
      </c>
    </row>
    <row r="6" spans="1:5" ht="15" customHeight="1" x14ac:dyDescent="0.2">
      <c r="A6" s="27" t="s">
        <v>55</v>
      </c>
      <c r="B6" s="30" t="s">
        <v>208</v>
      </c>
      <c r="C6" s="27">
        <v>4</v>
      </c>
      <c r="D6" s="8">
        <f>3.84*1000</f>
        <v>3840</v>
      </c>
      <c r="E6" s="8">
        <v>1</v>
      </c>
    </row>
    <row r="7" spans="1:5" ht="15" customHeight="1" x14ac:dyDescent="0.2">
      <c r="A7" s="27" t="s">
        <v>55</v>
      </c>
      <c r="B7" s="30" t="s">
        <v>208</v>
      </c>
      <c r="C7" s="27">
        <v>6</v>
      </c>
      <c r="D7" s="8">
        <f t="shared" ref="D7:D11" si="1">3.84*1000</f>
        <v>3840</v>
      </c>
      <c r="E7" s="8">
        <v>2</v>
      </c>
    </row>
    <row r="8" spans="1:5" ht="15" customHeight="1" x14ac:dyDescent="0.2">
      <c r="A8" s="27" t="s">
        <v>56</v>
      </c>
      <c r="B8" s="30" t="s">
        <v>209</v>
      </c>
      <c r="C8" s="27">
        <v>2</v>
      </c>
      <c r="D8" s="8">
        <f t="shared" si="1"/>
        <v>3840</v>
      </c>
      <c r="E8" s="28">
        <v>1</v>
      </c>
    </row>
    <row r="9" spans="1:5" ht="15" customHeight="1" x14ac:dyDescent="0.2">
      <c r="A9" s="27" t="s">
        <v>56</v>
      </c>
      <c r="B9" s="30" t="s">
        <v>209</v>
      </c>
      <c r="C9" s="27">
        <v>4</v>
      </c>
      <c r="D9" s="8">
        <f t="shared" si="1"/>
        <v>3840</v>
      </c>
      <c r="E9" s="28">
        <v>1</v>
      </c>
    </row>
    <row r="10" spans="1:5" ht="15" customHeight="1" x14ac:dyDescent="0.2">
      <c r="A10" s="27" t="s">
        <v>56</v>
      </c>
      <c r="B10" s="30" t="s">
        <v>209</v>
      </c>
      <c r="C10" s="27">
        <v>6</v>
      </c>
      <c r="D10" s="8">
        <f t="shared" si="1"/>
        <v>3840</v>
      </c>
      <c r="E10" s="28">
        <v>2</v>
      </c>
    </row>
    <row r="11" spans="1:5" ht="15" customHeight="1" x14ac:dyDescent="0.2">
      <c r="A11" s="27" t="s">
        <v>56</v>
      </c>
      <c r="B11" s="30" t="s">
        <v>209</v>
      </c>
      <c r="C11" s="27">
        <v>8</v>
      </c>
      <c r="D11" s="8">
        <f t="shared" si="1"/>
        <v>3840</v>
      </c>
      <c r="E11" s="28">
        <v>2</v>
      </c>
    </row>
    <row r="12" spans="1:5" ht="15" customHeight="1" x14ac:dyDescent="0.2">
      <c r="E12" s="28"/>
    </row>
    <row r="13" spans="1:5" ht="15" customHeight="1" x14ac:dyDescent="0.2">
      <c r="E13" s="28"/>
    </row>
    <row r="14" spans="1:5" ht="15" customHeight="1" x14ac:dyDescent="0.2">
      <c r="E14" s="28"/>
    </row>
    <row r="15" spans="1:5" ht="15" customHeight="1" x14ac:dyDescent="0.2">
      <c r="E15" s="28"/>
    </row>
    <row r="16" spans="1:5" ht="15" customHeight="1" x14ac:dyDescent="0.2">
      <c r="E16" s="28"/>
    </row>
    <row r="17" spans="5:5" ht="15" customHeight="1" x14ac:dyDescent="0.2">
      <c r="E17" s="28"/>
    </row>
    <row r="18" spans="5:5" ht="15" customHeight="1" x14ac:dyDescent="0.2">
      <c r="E18" s="28"/>
    </row>
    <row r="19" spans="5:5" ht="15" customHeight="1" x14ac:dyDescent="0.2">
      <c r="E19" s="28"/>
    </row>
    <row r="20" spans="5:5" ht="15" customHeight="1" x14ac:dyDescent="0.2">
      <c r="E20" s="28"/>
    </row>
    <row r="21" spans="5:5" ht="15" customHeight="1" x14ac:dyDescent="0.2">
      <c r="E21" s="28"/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ECE3A-4568-4D6D-ADFD-E979472296D2}">
  <dimension ref="A1:D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2" width="87.28515625" bestFit="1" customWidth="1"/>
    <col min="3" max="3" width="4.5703125" bestFit="1" customWidth="1"/>
    <col min="4" max="4" width="9.5703125" bestFit="1" customWidth="1"/>
  </cols>
  <sheetData>
    <row r="1" spans="1:4" x14ac:dyDescent="0.25">
      <c r="A1" s="21" t="s">
        <v>94</v>
      </c>
      <c r="B1" s="7" t="s">
        <v>95</v>
      </c>
      <c r="C1" s="7" t="s">
        <v>96</v>
      </c>
      <c r="D1" s="30" t="s">
        <v>210</v>
      </c>
    </row>
    <row r="2" spans="1:4" x14ac:dyDescent="0.25">
      <c r="A2" s="27" t="s">
        <v>57</v>
      </c>
      <c r="B2" s="27" t="s">
        <v>124</v>
      </c>
      <c r="C2" s="27">
        <v>1</v>
      </c>
      <c r="D2" s="8">
        <v>1</v>
      </c>
    </row>
    <row r="3" spans="1:4" x14ac:dyDescent="0.25">
      <c r="A3" s="27" t="s">
        <v>57</v>
      </c>
      <c r="B3" s="27" t="s">
        <v>124</v>
      </c>
      <c r="C3" s="27">
        <v>2</v>
      </c>
      <c r="D3" s="8">
        <v>2</v>
      </c>
    </row>
    <row r="4" spans="1:4" x14ac:dyDescent="0.25">
      <c r="A4" s="27" t="s">
        <v>58</v>
      </c>
      <c r="B4" s="27" t="s">
        <v>125</v>
      </c>
      <c r="C4" s="27">
        <v>1</v>
      </c>
      <c r="D4" s="8">
        <v>1</v>
      </c>
    </row>
    <row r="5" spans="1:4" x14ac:dyDescent="0.25">
      <c r="A5" s="27" t="s">
        <v>58</v>
      </c>
      <c r="B5" s="27" t="s">
        <v>125</v>
      </c>
      <c r="C5" s="27">
        <v>2</v>
      </c>
      <c r="D5" s="8">
        <v>2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2226-FD5E-4439-A236-7E302D86BEC4}">
  <sheetPr codeName="Sheet17"/>
  <dimension ref="A1:L1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7109375" style="3" bestFit="1" customWidth="1"/>
    <col min="2" max="2" width="54.28515625" style="3" bestFit="1" customWidth="1"/>
    <col min="3" max="3" width="4.5703125" style="3" bestFit="1" customWidth="1"/>
    <col min="4" max="4" width="10.28515625" style="3" bestFit="1" customWidth="1"/>
    <col min="5" max="5" width="28.85546875" style="3" bestFit="1" customWidth="1"/>
    <col min="6" max="6" width="4.5703125" style="3" customWidth="1"/>
    <col min="7" max="7" width="8.85546875" style="3" bestFit="1" customWidth="1"/>
    <col min="8" max="8" width="30.85546875" style="3" bestFit="1" customWidth="1"/>
    <col min="9" max="9" width="4.5703125" style="3" customWidth="1"/>
    <col min="10" max="12" width="9.140625" style="3"/>
    <col min="13" max="16384" width="9.140625" style="4"/>
  </cols>
  <sheetData>
    <row r="1" spans="1:12" ht="15" customHeight="1" x14ac:dyDescent="0.2">
      <c r="A1" s="3" t="s">
        <v>94</v>
      </c>
      <c r="B1" s="3" t="s">
        <v>95</v>
      </c>
      <c r="C1" s="3" t="s">
        <v>96</v>
      </c>
      <c r="D1" s="2" t="s">
        <v>99</v>
      </c>
      <c r="E1" s="2" t="s">
        <v>100</v>
      </c>
      <c r="F1" s="1" t="s">
        <v>101</v>
      </c>
      <c r="G1" s="24" t="s">
        <v>102</v>
      </c>
      <c r="H1" s="24" t="s">
        <v>103</v>
      </c>
      <c r="I1" s="25" t="s">
        <v>104</v>
      </c>
    </row>
    <row r="2" spans="1:12" ht="15" customHeight="1" x14ac:dyDescent="0.2">
      <c r="A2" s="3" t="s">
        <v>61</v>
      </c>
      <c r="B2" s="3" t="s">
        <v>118</v>
      </c>
      <c r="C2" s="3">
        <v>1</v>
      </c>
      <c r="D2" s="20" t="s">
        <v>63</v>
      </c>
      <c r="E2" s="5" t="s">
        <v>120</v>
      </c>
      <c r="F2" s="6">
        <v>1</v>
      </c>
      <c r="G2" s="7" t="s">
        <v>65</v>
      </c>
      <c r="H2" s="7" t="s">
        <v>123</v>
      </c>
      <c r="I2" s="7">
        <v>1</v>
      </c>
    </row>
    <row r="3" spans="1:12" ht="15" customHeight="1" x14ac:dyDescent="0.2">
      <c r="A3" s="3" t="s">
        <v>62</v>
      </c>
      <c r="B3" s="3" t="s">
        <v>119</v>
      </c>
      <c r="C3" s="3">
        <v>1</v>
      </c>
      <c r="D3" s="14" t="s">
        <v>64</v>
      </c>
      <c r="E3" s="12" t="s">
        <v>138</v>
      </c>
      <c r="F3" s="7">
        <v>1</v>
      </c>
      <c r="I3" s="3">
        <v>0</v>
      </c>
    </row>
    <row r="9" spans="1:12" ht="12.75" x14ac:dyDescent="0.2">
      <c r="L9" s="4"/>
    </row>
    <row r="13" spans="1:12" ht="15" customHeight="1" x14ac:dyDescent="0.2">
      <c r="A13" s="4"/>
      <c r="B13" s="4"/>
    </row>
    <row r="14" spans="1:12" ht="15" customHeight="1" x14ac:dyDescent="0.2">
      <c r="A14" s="4"/>
      <c r="B14" s="4"/>
    </row>
    <row r="15" spans="1:12" ht="15" customHeight="1" x14ac:dyDescent="0.2">
      <c r="A15" s="4"/>
      <c r="B15" s="4"/>
    </row>
    <row r="16" spans="1:12" ht="15" customHeight="1" x14ac:dyDescent="0.2">
      <c r="A16" s="4"/>
      <c r="B16" s="4"/>
    </row>
    <row r="17" spans="1:2" ht="15" customHeight="1" x14ac:dyDescent="0.2">
      <c r="A17" s="4"/>
      <c r="B17" s="4"/>
    </row>
    <row r="18" spans="1:2" ht="15" customHeight="1" x14ac:dyDescent="0.2">
      <c r="A18" s="4"/>
      <c r="B18" s="4"/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8A143-7468-4069-BC3C-C69924373356}">
  <sheetPr codeName="Sheet27"/>
  <dimension ref="A1:F2"/>
  <sheetViews>
    <sheetView zoomScaleNormal="100"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85546875" style="10" bestFit="1" customWidth="1"/>
    <col min="2" max="2" width="21.5703125" style="9" bestFit="1" customWidth="1"/>
    <col min="3" max="3" width="4.5703125" style="9" bestFit="1" customWidth="1"/>
    <col min="4" max="4" width="9.42578125" style="9" bestFit="1" customWidth="1"/>
    <col min="5" max="5" width="52.7109375" style="9" bestFit="1" customWidth="1"/>
    <col min="6" max="6" width="4.5703125" style="9" bestFit="1" customWidth="1"/>
    <col min="7" max="16384" width="9.140625" style="10"/>
  </cols>
  <sheetData>
    <row r="1" spans="1:6" ht="15" customHeight="1" x14ac:dyDescent="0.2">
      <c r="A1" s="10" t="s">
        <v>94</v>
      </c>
      <c r="B1" s="9" t="s">
        <v>95</v>
      </c>
      <c r="C1" s="9" t="s">
        <v>96</v>
      </c>
      <c r="D1" s="28" t="s">
        <v>99</v>
      </c>
      <c r="E1" s="27" t="s">
        <v>100</v>
      </c>
      <c r="F1" s="27" t="s">
        <v>101</v>
      </c>
    </row>
    <row r="2" spans="1:6" ht="15" customHeight="1" x14ac:dyDescent="0.2">
      <c r="A2" s="9" t="s">
        <v>68</v>
      </c>
      <c r="B2" s="9" t="s">
        <v>128</v>
      </c>
      <c r="C2" s="9">
        <v>1</v>
      </c>
      <c r="D2" s="3" t="s">
        <v>60</v>
      </c>
      <c r="E2" s="3" t="s">
        <v>117</v>
      </c>
      <c r="F2" s="4">
        <v>1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C327-C349-4447-8D84-35863825711A}">
  <sheetPr codeName="Sheet28"/>
  <dimension ref="A1:H25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85546875" style="12" bestFit="1" customWidth="1"/>
    <col min="2" max="2" width="64.140625" style="12" bestFit="1" customWidth="1"/>
    <col min="3" max="3" width="4.5703125" style="13" bestFit="1" customWidth="1"/>
    <col min="4" max="4" width="9.85546875" style="12" bestFit="1" customWidth="1"/>
    <col min="5" max="5" width="68.140625" style="12" bestFit="1" customWidth="1"/>
    <col min="6" max="6" width="4.5703125" style="12" bestFit="1" customWidth="1"/>
    <col min="7" max="7" width="9.28515625" style="12" bestFit="1" customWidth="1"/>
    <col min="8" max="8" width="10" style="12" bestFit="1" customWidth="1"/>
    <col min="9" max="16384" width="9.140625" style="13"/>
  </cols>
  <sheetData>
    <row r="1" spans="1:6" ht="15" customHeight="1" x14ac:dyDescent="0.2">
      <c r="A1" s="23" t="s">
        <v>94</v>
      </c>
      <c r="B1" s="12" t="s">
        <v>95</v>
      </c>
      <c r="C1" s="13" t="s">
        <v>96</v>
      </c>
      <c r="D1" s="12" t="s">
        <v>99</v>
      </c>
      <c r="E1" s="12" t="s">
        <v>100</v>
      </c>
      <c r="F1" s="12" t="s">
        <v>101</v>
      </c>
    </row>
    <row r="2" spans="1:6" ht="15" customHeight="1" x14ac:dyDescent="0.2">
      <c r="A2" s="12" t="s">
        <v>69</v>
      </c>
      <c r="B2" s="30" t="s">
        <v>238</v>
      </c>
      <c r="C2" s="13">
        <v>1</v>
      </c>
      <c r="E2" s="27" t="s">
        <v>59</v>
      </c>
      <c r="F2" s="12">
        <v>0</v>
      </c>
    </row>
    <row r="3" spans="1:6" ht="15" customHeight="1" x14ac:dyDescent="0.2">
      <c r="A3" s="12" t="s">
        <v>70</v>
      </c>
      <c r="B3" s="30" t="s">
        <v>239</v>
      </c>
      <c r="C3" s="13">
        <v>1</v>
      </c>
      <c r="E3" s="27" t="s">
        <v>59</v>
      </c>
      <c r="F3" s="12">
        <v>0</v>
      </c>
    </row>
    <row r="4" spans="1:6" ht="15" customHeight="1" x14ac:dyDescent="0.2">
      <c r="A4" s="12" t="s">
        <v>71</v>
      </c>
      <c r="B4" s="30" t="s">
        <v>156</v>
      </c>
      <c r="C4" s="13">
        <v>1</v>
      </c>
      <c r="E4" s="27" t="s">
        <v>59</v>
      </c>
      <c r="F4" s="12">
        <v>0</v>
      </c>
    </row>
    <row r="5" spans="1:6" ht="15" customHeight="1" x14ac:dyDescent="0.2">
      <c r="A5" s="12" t="s">
        <v>69</v>
      </c>
      <c r="B5" s="30" t="s">
        <v>238</v>
      </c>
      <c r="C5" s="13">
        <v>1</v>
      </c>
      <c r="D5" s="12" t="s">
        <v>73</v>
      </c>
      <c r="E5" s="30" t="s">
        <v>242</v>
      </c>
      <c r="F5" s="12">
        <v>1</v>
      </c>
    </row>
    <row r="6" spans="1:6" ht="15" customHeight="1" x14ac:dyDescent="0.2">
      <c r="A6" s="12" t="s">
        <v>70</v>
      </c>
      <c r="B6" s="30" t="s">
        <v>239</v>
      </c>
      <c r="C6" s="13">
        <v>1</v>
      </c>
      <c r="D6" s="12" t="s">
        <v>72</v>
      </c>
      <c r="E6" s="30" t="s">
        <v>241</v>
      </c>
      <c r="F6" s="12">
        <v>1</v>
      </c>
    </row>
    <row r="7" spans="1:6" ht="15" customHeight="1" x14ac:dyDescent="0.2">
      <c r="A7" s="12" t="s">
        <v>71</v>
      </c>
      <c r="B7" s="30" t="s">
        <v>156</v>
      </c>
      <c r="C7" s="13">
        <v>1</v>
      </c>
      <c r="D7" s="12" t="s">
        <v>74</v>
      </c>
      <c r="E7" s="30" t="s">
        <v>240</v>
      </c>
      <c r="F7" s="12">
        <v>1</v>
      </c>
    </row>
    <row r="8" spans="1:6" ht="15" customHeight="1" x14ac:dyDescent="0.2">
      <c r="B8" s="24"/>
    </row>
    <row r="21" spans="2:8" ht="15" customHeight="1" x14ac:dyDescent="0.2">
      <c r="B21" s="13"/>
      <c r="C21" s="12"/>
      <c r="H21" s="13"/>
    </row>
    <row r="22" spans="2:8" ht="15" customHeight="1" x14ac:dyDescent="0.2">
      <c r="B22" s="13"/>
      <c r="C22" s="12"/>
      <c r="H22" s="13"/>
    </row>
    <row r="23" spans="2:8" ht="15" customHeight="1" x14ac:dyDescent="0.2">
      <c r="B23" s="13"/>
      <c r="C23" s="12"/>
      <c r="H23" s="13"/>
    </row>
    <row r="24" spans="2:8" ht="15" customHeight="1" x14ac:dyDescent="0.2">
      <c r="B24" s="13"/>
      <c r="C24" s="12"/>
      <c r="H24" s="13"/>
    </row>
    <row r="25" spans="2:8" ht="15" customHeight="1" x14ac:dyDescent="0.2">
      <c r="B25" s="13"/>
      <c r="C25" s="12"/>
      <c r="H25" s="13"/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7852-ABFE-4493-B581-10F8780A22F4}">
  <sheetPr codeName="Sheet44"/>
  <dimension ref="A1:G4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10" style="15" bestFit="1" customWidth="1"/>
    <col min="2" max="2" width="53.7109375" style="16" bestFit="1" customWidth="1"/>
    <col min="3" max="3" width="4.5703125" style="16" bestFit="1" customWidth="1"/>
    <col min="4" max="4" width="8.5703125" style="16" bestFit="1" customWidth="1"/>
    <col min="5" max="5" width="57.85546875" style="16" bestFit="1" customWidth="1"/>
    <col min="6" max="6" width="4.5703125" style="16" bestFit="1" customWidth="1"/>
    <col min="7" max="7" width="10.140625" style="15" bestFit="1" customWidth="1"/>
    <col min="8" max="16384" width="9.140625" style="15"/>
  </cols>
  <sheetData>
    <row r="1" spans="1:7" ht="15" customHeight="1" x14ac:dyDescent="0.2">
      <c r="A1" s="15" t="s">
        <v>94</v>
      </c>
      <c r="B1" s="16" t="s">
        <v>95</v>
      </c>
      <c r="C1" s="16" t="s">
        <v>96</v>
      </c>
      <c r="D1" s="16" t="s">
        <v>99</v>
      </c>
      <c r="E1" s="16" t="s">
        <v>100</v>
      </c>
      <c r="F1" s="16" t="s">
        <v>101</v>
      </c>
      <c r="G1" s="31" t="s">
        <v>248</v>
      </c>
    </row>
    <row r="2" spans="1:7" ht="15" customHeight="1" x14ac:dyDescent="0.2">
      <c r="B2" s="27" t="s">
        <v>59</v>
      </c>
      <c r="C2" s="16">
        <v>0</v>
      </c>
      <c r="E2" s="27" t="s">
        <v>59</v>
      </c>
      <c r="F2" s="16">
        <v>0</v>
      </c>
      <c r="G2" s="31" t="s">
        <v>59</v>
      </c>
    </row>
    <row r="3" spans="1:7" ht="15" customHeight="1" x14ac:dyDescent="0.2">
      <c r="A3" s="16" t="s">
        <v>86</v>
      </c>
      <c r="B3" s="30" t="s">
        <v>247</v>
      </c>
      <c r="C3" s="15">
        <v>2</v>
      </c>
      <c r="D3" s="16" t="s">
        <v>87</v>
      </c>
      <c r="E3" s="30" t="s">
        <v>144</v>
      </c>
      <c r="F3" s="16">
        <v>2</v>
      </c>
      <c r="G3" s="31" t="s">
        <v>249</v>
      </c>
    </row>
    <row r="4" spans="1:7" ht="15" customHeight="1" x14ac:dyDescent="0.2">
      <c r="A4" s="31" t="s">
        <v>243</v>
      </c>
      <c r="B4" s="30" t="s">
        <v>245</v>
      </c>
      <c r="C4" s="16">
        <v>2</v>
      </c>
      <c r="D4" s="30" t="s">
        <v>244</v>
      </c>
      <c r="E4" s="30" t="s">
        <v>246</v>
      </c>
      <c r="F4" s="16">
        <v>2</v>
      </c>
      <c r="G4" s="31" t="s">
        <v>249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22C5-C199-4962-84DF-D676735ED288}">
  <sheetPr codeName="Sheet60"/>
  <dimension ref="A1:K13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11.5703125" style="15" bestFit="1" customWidth="1"/>
    <col min="2" max="2" width="45.85546875" style="16" bestFit="1" customWidth="1"/>
    <col min="3" max="3" width="4.5703125" style="16" bestFit="1" customWidth="1"/>
    <col min="4" max="4" width="9.7109375" style="16" bestFit="1" customWidth="1"/>
    <col min="5" max="5" width="51.85546875" style="16" bestFit="1" customWidth="1"/>
    <col min="6" max="6" width="4.5703125" style="16" bestFit="1" customWidth="1"/>
    <col min="7" max="7" width="9.7109375" style="16" bestFit="1" customWidth="1"/>
    <col min="8" max="8" width="44.5703125" style="16" bestFit="1" customWidth="1"/>
    <col min="9" max="9" width="4.5703125" style="16" bestFit="1" customWidth="1"/>
    <col min="10" max="10" width="13.85546875" style="15" bestFit="1" customWidth="1"/>
    <col min="11" max="11" width="14.7109375" style="15" bestFit="1" customWidth="1"/>
    <col min="12" max="16384" width="9.140625" style="15"/>
  </cols>
  <sheetData>
    <row r="1" spans="1:11" ht="15" customHeight="1" x14ac:dyDescent="0.2">
      <c r="A1" s="15" t="s">
        <v>94</v>
      </c>
      <c r="B1" s="16" t="s">
        <v>95</v>
      </c>
      <c r="C1" s="16" t="s">
        <v>96</v>
      </c>
      <c r="D1" s="17" t="s">
        <v>99</v>
      </c>
      <c r="E1" s="17" t="s">
        <v>100</v>
      </c>
      <c r="F1" s="18" t="s">
        <v>101</v>
      </c>
      <c r="G1" s="24" t="s">
        <v>102</v>
      </c>
      <c r="H1" s="24" t="s">
        <v>103</v>
      </c>
      <c r="I1" s="25" t="s">
        <v>104</v>
      </c>
      <c r="J1" s="30" t="s">
        <v>277</v>
      </c>
      <c r="K1" s="30" t="s">
        <v>278</v>
      </c>
    </row>
    <row r="2" spans="1:11" ht="15" customHeight="1" x14ac:dyDescent="0.2">
      <c r="A2" s="31" t="s">
        <v>269</v>
      </c>
      <c r="B2" s="31" t="s">
        <v>270</v>
      </c>
      <c r="C2" s="16">
        <v>1</v>
      </c>
      <c r="D2" s="17" t="s">
        <v>88</v>
      </c>
      <c r="E2" s="30" t="s">
        <v>147</v>
      </c>
      <c r="F2" s="17">
        <v>1</v>
      </c>
      <c r="G2" s="18" t="s">
        <v>146</v>
      </c>
      <c r="H2" s="30" t="s">
        <v>262</v>
      </c>
      <c r="I2" s="17">
        <v>1</v>
      </c>
      <c r="J2" s="31" t="s">
        <v>279</v>
      </c>
      <c r="K2" s="31">
        <v>3</v>
      </c>
    </row>
    <row r="3" spans="1:11" ht="15" customHeight="1" x14ac:dyDescent="0.2">
      <c r="A3" s="31" t="s">
        <v>271</v>
      </c>
      <c r="B3" s="31" t="s">
        <v>272</v>
      </c>
      <c r="C3" s="16">
        <v>1</v>
      </c>
      <c r="D3" s="17" t="s">
        <v>88</v>
      </c>
      <c r="E3" s="30" t="s">
        <v>263</v>
      </c>
      <c r="F3" s="17">
        <v>1</v>
      </c>
      <c r="G3" s="18" t="s">
        <v>146</v>
      </c>
      <c r="H3" s="30" t="s">
        <v>262</v>
      </c>
      <c r="I3" s="17">
        <v>1</v>
      </c>
      <c r="J3" s="31" t="s">
        <v>279</v>
      </c>
      <c r="K3" s="31">
        <v>5</v>
      </c>
    </row>
    <row r="4" spans="1:11" ht="15" customHeight="1" x14ac:dyDescent="0.2">
      <c r="A4" s="31" t="s">
        <v>273</v>
      </c>
      <c r="B4" s="31" t="s">
        <v>274</v>
      </c>
      <c r="C4" s="16">
        <v>1</v>
      </c>
      <c r="D4" s="31" t="s">
        <v>264</v>
      </c>
      <c r="E4" s="30" t="s">
        <v>267</v>
      </c>
      <c r="F4" s="15">
        <v>1</v>
      </c>
      <c r="G4" s="30" t="s">
        <v>265</v>
      </c>
      <c r="H4" s="31" t="s">
        <v>266</v>
      </c>
      <c r="I4" s="15">
        <v>1</v>
      </c>
      <c r="J4" s="31" t="s">
        <v>280</v>
      </c>
      <c r="K4" s="31">
        <v>3</v>
      </c>
    </row>
    <row r="5" spans="1:11" ht="15" customHeight="1" x14ac:dyDescent="0.2">
      <c r="A5" s="31" t="s">
        <v>275</v>
      </c>
      <c r="B5" s="31" t="s">
        <v>276</v>
      </c>
      <c r="C5" s="16">
        <v>1</v>
      </c>
      <c r="D5" s="31" t="s">
        <v>264</v>
      </c>
      <c r="E5" s="30" t="s">
        <v>268</v>
      </c>
      <c r="F5" s="15">
        <v>1</v>
      </c>
      <c r="G5" s="30" t="s">
        <v>265</v>
      </c>
      <c r="H5" s="31" t="s">
        <v>266</v>
      </c>
      <c r="I5" s="15">
        <v>1</v>
      </c>
      <c r="J5" s="31" t="s">
        <v>280</v>
      </c>
      <c r="K5" s="31">
        <v>5</v>
      </c>
    </row>
    <row r="6" spans="1:11" ht="15" customHeight="1" x14ac:dyDescent="0.2">
      <c r="A6" s="16"/>
      <c r="E6" s="15"/>
      <c r="F6" s="15"/>
      <c r="G6" s="15"/>
      <c r="H6" s="15"/>
      <c r="I6" s="15"/>
    </row>
    <row r="7" spans="1:11" ht="15" customHeight="1" x14ac:dyDescent="0.2">
      <c r="A7" s="16"/>
      <c r="E7" s="15"/>
      <c r="F7" s="15"/>
      <c r="G7" s="15"/>
      <c r="H7" s="15"/>
      <c r="I7" s="15"/>
    </row>
    <row r="8" spans="1:11" ht="15" customHeight="1" x14ac:dyDescent="0.2">
      <c r="A8" s="16"/>
      <c r="E8" s="15"/>
      <c r="F8" s="15"/>
      <c r="G8" s="15"/>
      <c r="H8" s="15"/>
      <c r="I8" s="15"/>
    </row>
    <row r="9" spans="1:11" ht="15" customHeight="1" x14ac:dyDescent="0.2">
      <c r="A9" s="16"/>
      <c r="E9" s="15"/>
      <c r="F9" s="15"/>
      <c r="G9" s="15"/>
      <c r="H9" s="15"/>
      <c r="I9" s="15"/>
    </row>
    <row r="10" spans="1:11" ht="15" customHeight="1" x14ac:dyDescent="0.2">
      <c r="A10" s="16"/>
      <c r="E10" s="15"/>
      <c r="F10" s="15"/>
      <c r="G10" s="15"/>
      <c r="H10" s="15"/>
      <c r="I10" s="15"/>
    </row>
    <row r="11" spans="1:11" ht="15" customHeight="1" x14ac:dyDescent="0.2">
      <c r="A11" s="16"/>
      <c r="E11" s="15"/>
      <c r="F11" s="15"/>
      <c r="G11" s="15"/>
      <c r="H11" s="15"/>
      <c r="I11" s="15"/>
    </row>
    <row r="12" spans="1:11" ht="15" customHeight="1" x14ac:dyDescent="0.2">
      <c r="A12" s="16"/>
      <c r="E12" s="15"/>
      <c r="F12" s="15"/>
      <c r="G12" s="15"/>
      <c r="H12" s="15"/>
      <c r="I12" s="15"/>
    </row>
    <row r="13" spans="1:11" ht="15" customHeight="1" x14ac:dyDescent="0.2">
      <c r="A13" s="16"/>
      <c r="E13" s="15"/>
      <c r="F13" s="15"/>
      <c r="G13" s="15"/>
      <c r="H13" s="15"/>
      <c r="I13" s="15"/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VSAN_Ready_Node_R640</vt:lpstr>
      <vt:lpstr>Processor</vt:lpstr>
      <vt:lpstr>Memory_DIMM_Type_and_Speed</vt:lpstr>
      <vt:lpstr>Memory_Capacity</vt:lpstr>
      <vt:lpstr>Hard_Drives</vt:lpstr>
      <vt:lpstr>Cache_Drives</vt:lpstr>
      <vt:lpstr>Operating_System</vt:lpstr>
      <vt:lpstr>PCIe_Riser</vt:lpstr>
      <vt:lpstr>Network_Daughter_Card</vt:lpstr>
      <vt:lpstr>Software</vt:lpstr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Perzel, Peter</dc:creator>
  <cp:lastModifiedBy>Peter_Husak</cp:lastModifiedBy>
  <dcterms:created xsi:type="dcterms:W3CDTF">2019-07-30T14:25:30Z</dcterms:created>
  <dcterms:modified xsi:type="dcterms:W3CDTF">2020-03-10T08:33:50Z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c89b32-9ea6-4751-a5b4-31f15d8c6655_Enabled">
    <vt:lpwstr>True</vt:lpwstr>
  </property>
  <property fmtid="{D5CDD505-2E9C-101B-9397-08002B2CF9AE}" pid="3" name="MSIP_Label_77c89b32-9ea6-4751-a5b4-31f15d8c6655_SiteId">
    <vt:lpwstr>945c199a-83a2-4e80-9f8c-5a91be5752dd</vt:lpwstr>
  </property>
  <property fmtid="{D5CDD505-2E9C-101B-9397-08002B2CF9AE}" pid="4" name="MSIP_Label_77c89b32-9ea6-4751-a5b4-31f15d8c6655_Owner">
    <vt:lpwstr>Peter_Perzel@Dell.com</vt:lpwstr>
  </property>
  <property fmtid="{D5CDD505-2E9C-101B-9397-08002B2CF9AE}" pid="5" name="MSIP_Label_77c89b32-9ea6-4751-a5b4-31f15d8c6655_SetDate">
    <vt:lpwstr>2019-07-30T15:13:20.9021883Z</vt:lpwstr>
  </property>
  <property fmtid="{D5CDD505-2E9C-101B-9397-08002B2CF9AE}" pid="6" name="MSIP_Label_77c89b32-9ea6-4751-a5b4-31f15d8c6655_Name">
    <vt:lpwstr>Restricted</vt:lpwstr>
  </property>
  <property fmtid="{D5CDD505-2E9C-101B-9397-08002B2CF9AE}" pid="7" name="MSIP_Label_77c89b32-9ea6-4751-a5b4-31f15d8c6655_Application">
    <vt:lpwstr>Microsoft Azure Information Protection</vt:lpwstr>
  </property>
  <property fmtid="{D5CDD505-2E9C-101B-9397-08002B2CF9AE}" pid="8" name="MSIP_Label_77c89b32-9ea6-4751-a5b4-31f15d8c6655_Extended_MSFT_Method">
    <vt:lpwstr>Manual</vt:lpwstr>
  </property>
  <property fmtid="{D5CDD505-2E9C-101B-9397-08002B2CF9AE}" pid="9" name="MSIP_Label_c6a92900-baee-4b44-8e07-37d659877869_Enabled">
    <vt:lpwstr>True</vt:lpwstr>
  </property>
  <property fmtid="{D5CDD505-2E9C-101B-9397-08002B2CF9AE}" pid="10" name="MSIP_Label_c6a92900-baee-4b44-8e07-37d659877869_SiteId">
    <vt:lpwstr>945c199a-83a2-4e80-9f8c-5a91be5752dd</vt:lpwstr>
  </property>
  <property fmtid="{D5CDD505-2E9C-101B-9397-08002B2CF9AE}" pid="11" name="MSIP_Label_c6a92900-baee-4b44-8e07-37d659877869_Owner">
    <vt:lpwstr>Peter_Perzel@Dell.com</vt:lpwstr>
  </property>
  <property fmtid="{D5CDD505-2E9C-101B-9397-08002B2CF9AE}" pid="12" name="MSIP_Label_c6a92900-baee-4b44-8e07-37d659877869_SetDate">
    <vt:lpwstr>2019-07-30T15:13:20.9021883Z</vt:lpwstr>
  </property>
  <property fmtid="{D5CDD505-2E9C-101B-9397-08002B2CF9AE}" pid="13" name="MSIP_Label_c6a92900-baee-4b44-8e07-37d659877869_Name">
    <vt:lpwstr>Visual Marking</vt:lpwstr>
  </property>
  <property fmtid="{D5CDD505-2E9C-101B-9397-08002B2CF9AE}" pid="14" name="MSIP_Label_c6a92900-baee-4b44-8e07-37d659877869_Application">
    <vt:lpwstr>Microsoft Azure Information Protection</vt:lpwstr>
  </property>
  <property fmtid="{D5CDD505-2E9C-101B-9397-08002B2CF9AE}" pid="15" name="MSIP_Label_c6a92900-baee-4b44-8e07-37d659877869_Parent">
    <vt:lpwstr>77c89b32-9ea6-4751-a5b4-31f15d8c6655</vt:lpwstr>
  </property>
  <property fmtid="{D5CDD505-2E9C-101B-9397-08002B2CF9AE}" pid="16" name="MSIP_Label_c6a92900-baee-4b44-8e07-37d659877869_Extended_MSFT_Method">
    <vt:lpwstr>Manual</vt:lpwstr>
  </property>
  <property fmtid="{D5CDD505-2E9C-101B-9397-08002B2CF9AE}" pid="17" name="aiplabel">
    <vt:lpwstr>Restricted Visual Marking</vt:lpwstr>
  </property>
</Properties>
</file>